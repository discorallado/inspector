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/>
  <mc:AlternateContent xmlns:mc="http://schemas.openxmlformats.org/markup-compatibility/2006">
    <mc:Choice Requires="x15">
      <x15ac:absPath xmlns:x15ac="http://schemas.microsoft.com/office/spreadsheetml/2010/11/ac" url="https://csenergychile-my.sharepoint.com/personal/sebastian_alvarez_csenergy_cl/Documents/CSE-Sebastián/01 - CLIENTES/07- IFX/01 - MAGNUS 1/01. DOCUMENTOS/"/>
    </mc:Choice>
  </mc:AlternateContent>
  <xr:revisionPtr revIDLastSave="0" documentId="8_{67444BA6-7AB8-40AB-B30E-E4A37C29B77E}" xr6:coauthVersionLast="47" xr6:coauthVersionMax="47" xr10:uidLastSave="{00000000-0000-0000-0000-000000000000}"/>
  <bookViews>
    <workbookView xWindow="-108" yWindow="-108" windowWidth="23256" windowHeight="12456" tabRatio="643" firstSheet="2" activeTab="3" xr2:uid="{00000000-000D-0000-FFFF-FFFF00000000}"/>
  </bookViews>
  <sheets>
    <sheet name="Resumen" sheetId="1" r:id="rId1"/>
    <sheet name="Gantt Plan" sheetId="2" state="hidden" r:id="rId2"/>
    <sheet name="TP" sheetId="3" r:id="rId3"/>
    <sheet name="T_G2" sheetId="8" r:id="rId4"/>
    <sheet name="BUS_A" sheetId="4" r:id="rId5"/>
    <sheet name="BUS_B" sheetId="5" r:id="rId6"/>
    <sheet name="CLIMA_A" sheetId="6" r:id="rId7"/>
    <sheet name="CLIMA_B" sheetId="7" r:id="rId8"/>
    <sheet name="NoConformidades" sheetId="9" state="hidden" r:id="rId9"/>
    <sheet name="ControlCambios" sheetId="10" state="hidden" r:id="rId10"/>
    <sheet name="Config" sheetId="11" r:id="rId11"/>
  </sheets>
  <definedNames>
    <definedName name="AvanceTbl">Config!$B$6:$C$9</definedName>
    <definedName name="EstadoCambioList">Config!$G$13:$G$16</definedName>
    <definedName name="EstadoList">Config!$B$6:$B$9</definedName>
    <definedName name="EstadoNCList">Config!$E$13:$E$16</definedName>
    <definedName name="SeveridadList">Config!$B$13:$B$15</definedName>
    <definedName name="TableroList">Config!$J$5:$J$10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7" i="7" l="1" a="1"/>
  <c r="F37" i="7" s="1"/>
  <c r="F52" i="6" a="1"/>
  <c r="F52" i="6" s="1"/>
  <c r="F47" i="6" a="1"/>
  <c r="F47" i="6" s="1"/>
  <c r="F16" i="6" a="1"/>
  <c r="F16" i="6" s="1"/>
  <c r="F30" i="4" a="1"/>
  <c r="F30" i="4" s="1"/>
  <c r="F52" i="3" a="1"/>
  <c r="F52" i="3" s="1"/>
  <c r="F47" i="3" a="1"/>
  <c r="F47" i="3" s="1"/>
  <c r="F30" i="3" a="1"/>
  <c r="F30" i="3" s="1"/>
  <c r="F16" i="3" a="1"/>
  <c r="F16" i="3" s="1"/>
  <c r="B29" i="10"/>
  <c r="B28" i="10"/>
  <c r="B27" i="10"/>
  <c r="B26" i="10"/>
  <c r="B25" i="10"/>
  <c r="B24" i="10"/>
  <c r="B23" i="10"/>
  <c r="B22" i="10"/>
  <c r="B21" i="10"/>
  <c r="B20" i="10"/>
  <c r="B19" i="10"/>
  <c r="B18" i="10"/>
  <c r="B17" i="10"/>
  <c r="B16" i="10"/>
  <c r="B15" i="10"/>
  <c r="B14" i="10"/>
  <c r="B13" i="10"/>
  <c r="B12" i="10"/>
  <c r="B11" i="10"/>
  <c r="B10" i="10"/>
  <c r="B9" i="10"/>
  <c r="B8" i="10"/>
  <c r="B7" i="10"/>
  <c r="B6" i="10"/>
  <c r="B5" i="10"/>
  <c r="N34" i="9"/>
  <c r="B34" i="9"/>
  <c r="N33" i="9"/>
  <c r="B33" i="9"/>
  <c r="N32" i="9"/>
  <c r="B32" i="9"/>
  <c r="N31" i="9"/>
  <c r="B31" i="9"/>
  <c r="N30" i="9"/>
  <c r="B30" i="9"/>
  <c r="N29" i="9"/>
  <c r="B29" i="9"/>
  <c r="N28" i="9"/>
  <c r="B28" i="9"/>
  <c r="N27" i="9"/>
  <c r="B27" i="9"/>
  <c r="N26" i="9"/>
  <c r="B26" i="9"/>
  <c r="N25" i="9"/>
  <c r="B25" i="9"/>
  <c r="N24" i="9"/>
  <c r="B24" i="9"/>
  <c r="N23" i="9"/>
  <c r="B23" i="9"/>
  <c r="N22" i="9"/>
  <c r="B22" i="9"/>
  <c r="N21" i="9"/>
  <c r="B21" i="9"/>
  <c r="N20" i="9"/>
  <c r="B20" i="9"/>
  <c r="N19" i="9"/>
  <c r="B19" i="9"/>
  <c r="N18" i="9"/>
  <c r="B18" i="9"/>
  <c r="N17" i="9"/>
  <c r="B17" i="9"/>
  <c r="N16" i="9"/>
  <c r="B16" i="9"/>
  <c r="N15" i="9"/>
  <c r="B15" i="9"/>
  <c r="N14" i="9"/>
  <c r="B14" i="9"/>
  <c r="N13" i="9"/>
  <c r="B13" i="9"/>
  <c r="N12" i="9"/>
  <c r="B12" i="9"/>
  <c r="N11" i="9"/>
  <c r="B11" i="9"/>
  <c r="N10" i="9"/>
  <c r="B10" i="9"/>
  <c r="N9" i="9"/>
  <c r="B9" i="9"/>
  <c r="N8" i="9"/>
  <c r="B8" i="9"/>
  <c r="N7" i="9"/>
  <c r="B7" i="9"/>
  <c r="N6" i="9"/>
  <c r="B6" i="9"/>
  <c r="N5" i="9"/>
  <c r="B5" i="9"/>
  <c r="F56" i="8"/>
  <c r="F55" i="8"/>
  <c r="F54" i="8"/>
  <c r="F53" i="8"/>
  <c r="D52" i="8"/>
  <c r="F51" i="8"/>
  <c r="F50" i="8"/>
  <c r="F49" i="8"/>
  <c r="F48" i="8"/>
  <c r="D47" i="8"/>
  <c r="F46" i="8"/>
  <c r="F45" i="8"/>
  <c r="F44" i="8"/>
  <c r="D43" i="8"/>
  <c r="F42" i="8"/>
  <c r="F41" i="8"/>
  <c r="F40" i="8"/>
  <c r="F39" i="8"/>
  <c r="F38" i="8"/>
  <c r="D37" i="8"/>
  <c r="F36" i="8"/>
  <c r="F35" i="8"/>
  <c r="F34" i="8"/>
  <c r="F33" i="8"/>
  <c r="F32" i="8"/>
  <c r="F31" i="8"/>
  <c r="D30" i="8"/>
  <c r="F29" i="8"/>
  <c r="F28" i="8"/>
  <c r="F27" i="8"/>
  <c r="F26" i="8"/>
  <c r="F25" i="8"/>
  <c r="F24" i="8"/>
  <c r="D23" i="8"/>
  <c r="F22" i="8"/>
  <c r="F21" i="8"/>
  <c r="F20" i="8"/>
  <c r="F19" i="8"/>
  <c r="F18" i="8"/>
  <c r="F17" i="8"/>
  <c r="D16" i="8"/>
  <c r="F15" i="8"/>
  <c r="F14" i="8"/>
  <c r="F13" i="8"/>
  <c r="F12" i="8"/>
  <c r="F11" i="8"/>
  <c r="D10" i="8"/>
  <c r="F56" i="7"/>
  <c r="F55" i="7"/>
  <c r="F54" i="7"/>
  <c r="F53" i="7"/>
  <c r="F52" i="7" s="1" a="1"/>
  <c r="F52" i="7" s="1"/>
  <c r="D52" i="7"/>
  <c r="F51" i="7"/>
  <c r="F50" i="7"/>
  <c r="F49" i="7"/>
  <c r="F48" i="7"/>
  <c r="F47" i="7" s="1" a="1"/>
  <c r="F47" i="7" s="1"/>
  <c r="D47" i="7"/>
  <c r="F46" i="7"/>
  <c r="F45" i="7"/>
  <c r="F43" i="7" s="1" a="1"/>
  <c r="F43" i="7" s="1"/>
  <c r="F44" i="7"/>
  <c r="D43" i="7"/>
  <c r="F42" i="7"/>
  <c r="F41" i="7"/>
  <c r="F40" i="7"/>
  <c r="F39" i="7"/>
  <c r="F38" i="7"/>
  <c r="D37" i="7"/>
  <c r="F36" i="7"/>
  <c r="F35" i="7"/>
  <c r="F34" i="7"/>
  <c r="F33" i="7"/>
  <c r="F32" i="7"/>
  <c r="F31" i="7"/>
  <c r="D30" i="7"/>
  <c r="F29" i="7"/>
  <c r="F28" i="7"/>
  <c r="F27" i="7"/>
  <c r="F26" i="7"/>
  <c r="F25" i="7"/>
  <c r="F24" i="7"/>
  <c r="D23" i="7"/>
  <c r="F22" i="7"/>
  <c r="F21" i="7"/>
  <c r="F20" i="7"/>
  <c r="F19" i="7"/>
  <c r="F18" i="7"/>
  <c r="F17" i="7"/>
  <c r="D16" i="7"/>
  <c r="F15" i="7"/>
  <c r="F14" i="7"/>
  <c r="F13" i="7"/>
  <c r="F12" i="7"/>
  <c r="F11" i="7"/>
  <c r="D10" i="7"/>
  <c r="F56" i="6"/>
  <c r="F55" i="6"/>
  <c r="F54" i="6"/>
  <c r="F53" i="6"/>
  <c r="D52" i="6"/>
  <c r="F51" i="6"/>
  <c r="F50" i="6"/>
  <c r="F49" i="6"/>
  <c r="F48" i="6"/>
  <c r="D47" i="6"/>
  <c r="F46" i="6"/>
  <c r="F45" i="6"/>
  <c r="F44" i="6"/>
  <c r="F43" i="6" s="1" a="1"/>
  <c r="F43" i="6" s="1"/>
  <c r="D43" i="6"/>
  <c r="F42" i="6"/>
  <c r="F41" i="6"/>
  <c r="F40" i="6"/>
  <c r="F39" i="6"/>
  <c r="F38" i="6"/>
  <c r="D37" i="6"/>
  <c r="F36" i="6"/>
  <c r="F35" i="6"/>
  <c r="F34" i="6"/>
  <c r="F33" i="6"/>
  <c r="F32" i="6"/>
  <c r="F31" i="6"/>
  <c r="D30" i="6"/>
  <c r="F30" i="6" s="1" a="1"/>
  <c r="F30" i="6" s="1"/>
  <c r="F29" i="6"/>
  <c r="F28" i="6"/>
  <c r="F27" i="6"/>
  <c r="F26" i="6"/>
  <c r="F25" i="6"/>
  <c r="F24" i="6"/>
  <c r="D23" i="6"/>
  <c r="F22" i="6"/>
  <c r="F21" i="6"/>
  <c r="F20" i="6"/>
  <c r="F19" i="6"/>
  <c r="F18" i="6"/>
  <c r="F17" i="6"/>
  <c r="D16" i="6"/>
  <c r="F15" i="6"/>
  <c r="F14" i="6"/>
  <c r="F13" i="6"/>
  <c r="F12" i="6"/>
  <c r="F11" i="6"/>
  <c r="D10" i="6"/>
  <c r="F56" i="5"/>
  <c r="F55" i="5"/>
  <c r="F54" i="5"/>
  <c r="F53" i="5"/>
  <c r="F52" i="5" s="1" a="1"/>
  <c r="F52" i="5" s="1"/>
  <c r="D52" i="5"/>
  <c r="F51" i="5"/>
  <c r="F50" i="5"/>
  <c r="F49" i="5"/>
  <c r="F48" i="5"/>
  <c r="F47" i="5" s="1" a="1"/>
  <c r="F47" i="5" s="1"/>
  <c r="D47" i="5"/>
  <c r="F46" i="5"/>
  <c r="F45" i="5"/>
  <c r="F44" i="5"/>
  <c r="F43" i="5" s="1" a="1"/>
  <c r="F43" i="5" s="1"/>
  <c r="D43" i="5"/>
  <c r="F42" i="5"/>
  <c r="F41" i="5"/>
  <c r="F40" i="5"/>
  <c r="F39" i="5"/>
  <c r="F38" i="5"/>
  <c r="F37" i="5" s="1" a="1"/>
  <c r="F37" i="5" s="1"/>
  <c r="D37" i="5"/>
  <c r="F36" i="5"/>
  <c r="F35" i="5"/>
  <c r="F34" i="5"/>
  <c r="F33" i="5"/>
  <c r="F32" i="5"/>
  <c r="F31" i="5"/>
  <c r="F30" i="5" s="1" a="1"/>
  <c r="F30" i="5" s="1"/>
  <c r="D30" i="5"/>
  <c r="F29" i="5"/>
  <c r="F28" i="5"/>
  <c r="F27" i="5"/>
  <c r="F26" i="5"/>
  <c r="F25" i="5"/>
  <c r="F24" i="5"/>
  <c r="D23" i="5"/>
  <c r="F22" i="5"/>
  <c r="F21" i="5"/>
  <c r="F20" i="5"/>
  <c r="F19" i="5"/>
  <c r="F18" i="5"/>
  <c r="F17" i="5"/>
  <c r="D16" i="5"/>
  <c r="F15" i="5"/>
  <c r="F14" i="5"/>
  <c r="F13" i="5"/>
  <c r="F12" i="5"/>
  <c r="F11" i="5"/>
  <c r="D10" i="5"/>
  <c r="F56" i="4"/>
  <c r="F55" i="4"/>
  <c r="F54" i="4"/>
  <c r="F53" i="4"/>
  <c r="F52" i="4" s="1" a="1"/>
  <c r="F52" i="4" s="1"/>
  <c r="D52" i="4"/>
  <c r="F51" i="4"/>
  <c r="F50" i="4"/>
  <c r="F49" i="4"/>
  <c r="F48" i="4"/>
  <c r="F47" i="4" s="1" a="1"/>
  <c r="F47" i="4" s="1"/>
  <c r="D47" i="4"/>
  <c r="F46" i="4"/>
  <c r="F45" i="4"/>
  <c r="F44" i="4"/>
  <c r="F43" i="4" s="1" a="1"/>
  <c r="F43" i="4" s="1"/>
  <c r="D43" i="4"/>
  <c r="F42" i="4"/>
  <c r="F37" i="4" s="1" a="1"/>
  <c r="F37" i="4" s="1"/>
  <c r="F41" i="4"/>
  <c r="F40" i="4"/>
  <c r="F39" i="4"/>
  <c r="F38" i="4"/>
  <c r="D37" i="4"/>
  <c r="F36" i="4"/>
  <c r="F35" i="4"/>
  <c r="F34" i="4"/>
  <c r="F33" i="4"/>
  <c r="F32" i="4"/>
  <c r="F31" i="4"/>
  <c r="D30" i="4"/>
  <c r="F29" i="4"/>
  <c r="F28" i="4"/>
  <c r="F27" i="4"/>
  <c r="F26" i="4"/>
  <c r="F25" i="4"/>
  <c r="F24" i="4"/>
  <c r="D23" i="4"/>
  <c r="F22" i="4"/>
  <c r="F21" i="4"/>
  <c r="F20" i="4"/>
  <c r="F19" i="4"/>
  <c r="F18" i="4"/>
  <c r="F17" i="4"/>
  <c r="D16" i="4"/>
  <c r="F15" i="4"/>
  <c r="F14" i="4"/>
  <c r="F13" i="4"/>
  <c r="F12" i="4"/>
  <c r="F11" i="4"/>
  <c r="D10" i="4"/>
  <c r="F56" i="3"/>
  <c r="F55" i="3"/>
  <c r="F54" i="3"/>
  <c r="F53" i="3"/>
  <c r="D52" i="3"/>
  <c r="F51" i="3"/>
  <c r="F50" i="3"/>
  <c r="F49" i="3"/>
  <c r="F48" i="3"/>
  <c r="D47" i="3"/>
  <c r="F46" i="3"/>
  <c r="F45" i="3"/>
  <c r="F44" i="3"/>
  <c r="F43" i="3" s="1" a="1"/>
  <c r="F43" i="3" s="1"/>
  <c r="D43" i="3"/>
  <c r="F42" i="3"/>
  <c r="F41" i="3"/>
  <c r="F37" i="3" s="1" a="1"/>
  <c r="F37" i="3" s="1"/>
  <c r="F40" i="3"/>
  <c r="F39" i="3"/>
  <c r="F38" i="3"/>
  <c r="D37" i="3"/>
  <c r="F36" i="3"/>
  <c r="F35" i="3"/>
  <c r="F34" i="3"/>
  <c r="F33" i="3"/>
  <c r="F32" i="3"/>
  <c r="F31" i="3"/>
  <c r="D30" i="3"/>
  <c r="F29" i="3"/>
  <c r="F28" i="3"/>
  <c r="F27" i="3"/>
  <c r="F26" i="3"/>
  <c r="F25" i="3"/>
  <c r="F24" i="3"/>
  <c r="D23" i="3"/>
  <c r="F22" i="3"/>
  <c r="F21" i="3"/>
  <c r="F20" i="3"/>
  <c r="F19" i="3"/>
  <c r="F18" i="3"/>
  <c r="F17" i="3"/>
  <c r="D16" i="3"/>
  <c r="F15" i="3"/>
  <c r="F14" i="3"/>
  <c r="F13" i="3"/>
  <c r="F12" i="3"/>
  <c r="F11" i="3"/>
  <c r="D10" i="3"/>
  <c r="I7" i="1"/>
  <c r="H7" i="1"/>
  <c r="G7" i="1"/>
  <c r="F7" i="1"/>
  <c r="E7" i="1"/>
  <c r="I11" i="1"/>
  <c r="H11" i="1"/>
  <c r="G11" i="1"/>
  <c r="F11" i="1"/>
  <c r="E11" i="1"/>
  <c r="I10" i="1"/>
  <c r="H10" i="1"/>
  <c r="G10" i="1"/>
  <c r="F10" i="1"/>
  <c r="E10" i="1"/>
  <c r="I9" i="1"/>
  <c r="H9" i="1"/>
  <c r="G9" i="1"/>
  <c r="F9" i="1"/>
  <c r="E9" i="1"/>
  <c r="I8" i="1"/>
  <c r="H8" i="1"/>
  <c r="G8" i="1"/>
  <c r="F8" i="1"/>
  <c r="E8" i="1"/>
  <c r="I6" i="1"/>
  <c r="H6" i="1"/>
  <c r="G6" i="1"/>
  <c r="F6" i="1"/>
  <c r="E6" i="1"/>
  <c r="F30" i="8" l="1" a="1"/>
  <c r="F30" i="8" s="1"/>
  <c r="F37" i="8" a="1"/>
  <c r="F37" i="8" s="1"/>
  <c r="F43" i="8" a="1"/>
  <c r="F43" i="8" s="1"/>
  <c r="F47" i="8" a="1"/>
  <c r="F47" i="8" s="1"/>
  <c r="F52" i="8" a="1"/>
  <c r="F52" i="8" s="1"/>
  <c r="F16" i="5" a="1"/>
  <c r="F16" i="5" s="1"/>
  <c r="F16" i="4" a="1"/>
  <c r="F16" i="4" s="1"/>
  <c r="F16" i="8" a="1"/>
  <c r="F16" i="8" s="1"/>
  <c r="F23" i="3" a="1"/>
  <c r="F23" i="3" s="1"/>
  <c r="F10" i="8" a="1"/>
  <c r="F10" i="8" s="1"/>
  <c r="F37" i="6" a="1"/>
  <c r="F37" i="6" s="1"/>
  <c r="F23" i="7" a="1"/>
  <c r="F23" i="7" s="1"/>
  <c r="F23" i="8" a="1"/>
  <c r="F23" i="8" s="1"/>
  <c r="F23" i="6" a="1"/>
  <c r="F23" i="6" s="1"/>
  <c r="F23" i="5" a="1"/>
  <c r="F23" i="5" s="1"/>
  <c r="F23" i="4" a="1"/>
  <c r="F23" i="4" s="1"/>
  <c r="F10" i="5" a="1"/>
  <c r="F10" i="5" s="1"/>
  <c r="F30" i="7" a="1"/>
  <c r="F30" i="7" s="1"/>
  <c r="F16" i="7" a="1"/>
  <c r="F16" i="7" s="1"/>
  <c r="H12" i="1"/>
  <c r="F10" i="4" a="1"/>
  <c r="F10" i="4" s="1"/>
  <c r="G7" i="4" s="1"/>
  <c r="C8" i="1" s="1"/>
  <c r="D8" i="1" s="1"/>
  <c r="F10" i="6" a="1"/>
  <c r="F10" i="6" s="1"/>
  <c r="G7" i="6" s="1"/>
  <c r="C10" i="1" s="1"/>
  <c r="D10" i="1" s="1"/>
  <c r="F10" i="7" a="1"/>
  <c r="F10" i="7" s="1"/>
  <c r="F10" i="3" a="1"/>
  <c r="F10" i="3" s="1"/>
  <c r="G7" i="3" s="1"/>
  <c r="C6" i="1" s="1"/>
  <c r="I12" i="1"/>
  <c r="G7" i="5" l="1"/>
  <c r="C9" i="1" s="1"/>
  <c r="D9" i="1" s="1"/>
  <c r="G7" i="8"/>
  <c r="C7" i="1" s="1"/>
  <c r="D7" i="1" s="1"/>
  <c r="G7" i="7"/>
  <c r="C11" i="1" s="1"/>
  <c r="D11" i="1" s="1"/>
  <c r="D6" i="1"/>
  <c r="C12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<sst xmlns="http://schemas.openxmlformats.org/spreadsheetml/2006/main" count="1333" uniqueCount="240">
  <si>
    <t>RESUMEN GENERAL — INTEGRACIÓN DE TABLEROS</t>
  </si>
  <si>
    <t>Consolidado automático. Fechas plan cargadas desde la carta Gantt del proveedor.</t>
  </si>
  <si>
    <t>Tablero</t>
  </si>
  <si>
    <t>Avance Global</t>
  </si>
  <si>
    <t>Estado General</t>
  </si>
  <si>
    <t>Plan Inicio</t>
  </si>
  <si>
    <t>Plan Fin Despacho</t>
  </si>
  <si>
    <t>Real Fin Despacho</t>
  </si>
  <si>
    <t>NC Abiertas</t>
  </si>
  <si>
    <t>Cambios Pend.</t>
  </si>
  <si>
    <t>TP</t>
  </si>
  <si>
    <t>T_G2</t>
  </si>
  <si>
    <t>BUS_A</t>
  </si>
  <si>
    <t>BUS_B</t>
  </si>
  <si>
    <t>CLIMA_A</t>
  </si>
  <si>
    <t>CLIMA_B</t>
  </si>
  <si>
    <t>PROMEDIO / TOTAL</t>
  </si>
  <si>
    <t>Leyenda estados (sub-hitos):</t>
  </si>
  <si>
    <t>Pendiente = 0%</t>
  </si>
  <si>
    <t>En proceso = 50%</t>
  </si>
  <si>
    <t>Completado = 100%</t>
  </si>
  <si>
    <t>N/A = excluido</t>
  </si>
  <si>
    <t>CARTA GANTT — PLAN DE FABRICACIÓN (PROVEEDOR)</t>
  </si>
  <si>
    <t>L</t>
  </si>
  <si>
    <t>M</t>
  </si>
  <si>
    <t>J</t>
  </si>
  <si>
    <t>V</t>
  </si>
  <si>
    <t>S</t>
  </si>
  <si>
    <t>D</t>
  </si>
  <si>
    <t>Tablero / Hito</t>
  </si>
  <si>
    <t>22-06</t>
  </si>
  <si>
    <t>23-06</t>
  </si>
  <si>
    <t>24-06</t>
  </si>
  <si>
    <t>25-06</t>
  </si>
  <si>
    <t>26-06</t>
  </si>
  <si>
    <t>27-06</t>
  </si>
  <si>
    <t>28-06</t>
  </si>
  <si>
    <t>29-06</t>
  </si>
  <si>
    <t>30-06</t>
  </si>
  <si>
    <t>01-07</t>
  </si>
  <si>
    <t>02-07</t>
  </si>
  <si>
    <t>03-07</t>
  </si>
  <si>
    <t>04-07</t>
  </si>
  <si>
    <t>05-07</t>
  </si>
  <si>
    <t>06-07</t>
  </si>
  <si>
    <t>07-07</t>
  </si>
  <si>
    <t>08-07</t>
  </si>
  <si>
    <t>09-07</t>
  </si>
  <si>
    <t>10-07</t>
  </si>
  <si>
    <t>11-07</t>
  </si>
  <si>
    <t>12-07</t>
  </si>
  <si>
    <t>13-07</t>
  </si>
  <si>
    <t>14-07</t>
  </si>
  <si>
    <t>15-07</t>
  </si>
  <si>
    <t>16-07</t>
  </si>
  <si>
    <t>17-07</t>
  </si>
  <si>
    <t>18-07</t>
  </si>
  <si>
    <t>19-07</t>
  </si>
  <si>
    <t>20-07</t>
  </si>
  <si>
    <t>21-07</t>
  </si>
  <si>
    <t>22-07</t>
  </si>
  <si>
    <t>23-07</t>
  </si>
  <si>
    <t>24-07</t>
  </si>
  <si>
    <t>25-07</t>
  </si>
  <si>
    <t>26-07</t>
  </si>
  <si>
    <t>27-07</t>
  </si>
  <si>
    <t>28-07</t>
  </si>
  <si>
    <t>29-07</t>
  </si>
  <si>
    <t>30-07</t>
  </si>
  <si>
    <t>31-07</t>
  </si>
  <si>
    <t xml:space="preserve">   1. Armado de Tablero</t>
  </si>
  <si>
    <t xml:space="preserve">   2. Montaje de protecciones</t>
  </si>
  <si>
    <t xml:space="preserve">   3. Fabricación y montaje de barras</t>
  </si>
  <si>
    <t xml:space="preserve">   4. Alambrado del tablero</t>
  </si>
  <si>
    <t xml:space="preserve">   5. Rotulación</t>
  </si>
  <si>
    <t xml:space="preserve">   6. Pruebas FAT</t>
  </si>
  <si>
    <t xml:space="preserve">   7. Embalaje</t>
  </si>
  <si>
    <t xml:space="preserve">   8. Despacho</t>
  </si>
  <si>
    <t>Barras = ventana plan del proveedor. Gris = fin de semana.</t>
  </si>
  <si>
    <t>SEGUIMIENTO DE INTEGRACIÓN — TABLERO TP</t>
  </si>
  <si>
    <t>Proyecto:</t>
  </si>
  <si>
    <t>TAG:</t>
  </si>
  <si>
    <t>Rev.:</t>
  </si>
  <si>
    <t>Fabricante:</t>
  </si>
  <si>
    <t>OC/Contrato:</t>
  </si>
  <si>
    <t>Actualizado:</t>
  </si>
  <si>
    <t>AVANCE GLOBAL DEL TABLERO</t>
  </si>
  <si>
    <t>#</t>
  </si>
  <si>
    <t>Hito / Sub-actividad</t>
  </si>
  <si>
    <t>Peso</t>
  </si>
  <si>
    <t>Estado</t>
  </si>
  <si>
    <t>Avance</t>
  </si>
  <si>
    <t>Plan Fin</t>
  </si>
  <si>
    <t>Real Inicio</t>
  </si>
  <si>
    <t>Real Fin</t>
  </si>
  <si>
    <t>Responsable</t>
  </si>
  <si>
    <t>Observaciones</t>
  </si>
  <si>
    <t>1. Armado de Tablero</t>
  </si>
  <si>
    <t>1.1</t>
  </si>
  <si>
    <t>Recepción y verificación de envolvente (dimensiones, IP/IK, RAL)</t>
  </si>
  <si>
    <t>Completado</t>
  </si>
  <si>
    <t>CSE</t>
  </si>
  <si>
    <t>1.2</t>
  </si>
  <si>
    <t>Ensamble de estructura y paneles del gabinete</t>
  </si>
  <si>
    <t>CMF</t>
  </si>
  <si>
    <t>1.3</t>
  </si>
  <si>
    <t>Montaje de perfilería DIN y placas de montaje</t>
  </si>
  <si>
    <t>Pendiente</t>
  </si>
  <si>
    <t>1.4</t>
  </si>
  <si>
    <t>Instalación de puertas, bisagras y cerraduras</t>
  </si>
  <si>
    <t>1.5</t>
  </si>
  <si>
    <t>Fijación de canaletas y sistema de cableado</t>
  </si>
  <si>
    <t>2. Montaje de protecciones</t>
  </si>
  <si>
    <t>2.1</t>
  </si>
  <si>
    <t>Verificación de aparatos vs. lista de materiales (marca/In/Icu)</t>
  </si>
  <si>
    <t>2.2</t>
  </si>
  <si>
    <t>Montaje de interruptor principal</t>
  </si>
  <si>
    <t>2.3</t>
  </si>
  <si>
    <t>Montaje de protecciones de derivación</t>
  </si>
  <si>
    <t>2.4</t>
  </si>
  <si>
    <t>Montaje de diferenciales / protecciones auxiliares</t>
  </si>
  <si>
    <t>N/A</t>
  </si>
  <si>
    <t>2.5</t>
  </si>
  <si>
    <t>Instalación de instrumentación (medidores, TC, relés)</t>
  </si>
  <si>
    <t>2.6</t>
  </si>
  <si>
    <t>Fijación y torque de aparatos según layout</t>
  </si>
  <si>
    <t>3. Fabricación y montaje de barras</t>
  </si>
  <si>
    <t>3.1</t>
  </si>
  <si>
    <t>Corte y conformado de barras (fases, N)</t>
  </si>
  <si>
    <t>En proceso</t>
  </si>
  <si>
    <t>3.2</t>
  </si>
  <si>
    <t>Perforado y tratamiento de superficie / aislamiento</t>
  </si>
  <si>
    <t>3.3</t>
  </si>
  <si>
    <t>Montaje de aisladores y soportes de barra</t>
  </si>
  <si>
    <t>3.4</t>
  </si>
  <si>
    <t>Instalación de barras principales con torque especificado</t>
  </si>
  <si>
    <t>3.5</t>
  </si>
  <si>
    <t>Montaje de barra de tierra (PE) y neutro (N)</t>
  </si>
  <si>
    <t>3.6</t>
  </si>
  <si>
    <t>Conexión de derivaciones a protecciones</t>
  </si>
  <si>
    <t>4. Alambrado del tablero</t>
  </si>
  <si>
    <t>4.1</t>
  </si>
  <si>
    <t>Alambrado de circuito de fuerza</t>
  </si>
  <si>
    <t>4.2</t>
  </si>
  <si>
    <t>Alambrado de circuito de control / mando</t>
  </si>
  <si>
    <t>4.3</t>
  </si>
  <si>
    <t>Conexionado de instrumentación y señalización</t>
  </si>
  <si>
    <t>4.4</t>
  </si>
  <si>
    <t>Montaje de punteras/terminales y apriete con torque</t>
  </si>
  <si>
    <t>4.5</t>
  </si>
  <si>
    <t>Peinado y ordenamiento de mazos de cable</t>
  </si>
  <si>
    <t>4.6</t>
  </si>
  <si>
    <t>Conexión de barra PE a partes metálicas accesibles</t>
  </si>
  <si>
    <t>5. Rotulación</t>
  </si>
  <si>
    <t>5.1</t>
  </si>
  <si>
    <t>Etiquetado de conductores en ambos extremos</t>
  </si>
  <si>
    <t>5.2</t>
  </si>
  <si>
    <t>Rotulado de aparatos y bornes según planos</t>
  </si>
  <si>
    <t>5.3</t>
  </si>
  <si>
    <t>Instalación de placa de características (nameplate)</t>
  </si>
  <si>
    <t>5.4</t>
  </si>
  <si>
    <t>Rótulos de advertencia y seguridad</t>
  </si>
  <si>
    <t>5.5</t>
  </si>
  <si>
    <t>Verificación de coincidencia rótulos vs. esquema</t>
  </si>
  <si>
    <t>6. Pruebas FAT</t>
  </si>
  <si>
    <t>6.1</t>
  </si>
  <si>
    <t>Ejecución de protocolo FAT (según alcance definido)</t>
  </si>
  <si>
    <t>6.2</t>
  </si>
  <si>
    <t>Levantamiento y cierre de punchlist</t>
  </si>
  <si>
    <t>6.3</t>
  </si>
  <si>
    <t>Protocolo FAT firmado / liberación</t>
  </si>
  <si>
    <t>7. Embalaje</t>
  </si>
  <si>
    <t>7.1</t>
  </si>
  <si>
    <t>Limpieza y protección interior del tablero</t>
  </si>
  <si>
    <t>7.2</t>
  </si>
  <si>
    <t>Bloqueo/aseguramiento de aparatos móviles para transporte</t>
  </si>
  <si>
    <t>7.3</t>
  </si>
  <si>
    <t>Embalaje protector (film, esquineros, IP de transporte)</t>
  </si>
  <si>
    <t>7.4</t>
  </si>
  <si>
    <t>Identificación externa del bulto y documentación adjunta</t>
  </si>
  <si>
    <t>8. Despacho</t>
  </si>
  <si>
    <t>8.1</t>
  </si>
  <si>
    <t>Coordinación logística de retiro/entrega</t>
  </si>
  <si>
    <t>8.2</t>
  </si>
  <si>
    <t>Verificación documental (guía de despacho, as-built)</t>
  </si>
  <si>
    <t>8.3</t>
  </si>
  <si>
    <t>Carga y despacho</t>
  </si>
  <si>
    <t>8.4</t>
  </si>
  <si>
    <t>Confirmación de recepción en destino</t>
  </si>
  <si>
    <t>CLIENTE</t>
  </si>
  <si>
    <t>SEGUIMIENTO DE INTEGRACIÓN — TABLERO T_G2</t>
  </si>
  <si>
    <t>C.Costo</t>
  </si>
  <si>
    <t>IN-17248</t>
  </si>
  <si>
    <t>SEGUIMIENTO DE INTEGRACIÓN — TABLERO BUS_A</t>
  </si>
  <si>
    <t>SEGUIMIENTO DE INTEGRACIÓN — TABLERO BUS_B</t>
  </si>
  <si>
    <t>SEGUIMIENTO DE INTEGRACIÓN — TABLERO CLIMA_A</t>
  </si>
  <si>
    <t>SEGUIMIENTO DE INTEGRACIÓN — TABLERO CLIMA_B</t>
  </si>
  <si>
    <t>REGISTRO DE NO CONFORMIDADES (NC)</t>
  </si>
  <si>
    <t>N° NC</t>
  </si>
  <si>
    <t>Fecha Detección</t>
  </si>
  <si>
    <t>Hito / Actividad</t>
  </si>
  <si>
    <t>Descripción de la NC</t>
  </si>
  <si>
    <t>Severidad</t>
  </si>
  <si>
    <t>Acción correctiva</t>
  </si>
  <si>
    <t>Fecha Compromiso</t>
  </si>
  <si>
    <t>Fecha Cierre</t>
  </si>
  <si>
    <t>Evidencia/Ref.</t>
  </si>
  <si>
    <t>Días Abierta</t>
  </si>
  <si>
    <t>CONTROL DE CAMBIOS</t>
  </si>
  <si>
    <t>N° Cambio</t>
  </si>
  <si>
    <t>Fecha</t>
  </si>
  <si>
    <t>Descripción del cambio</t>
  </si>
  <si>
    <t>Motivo / Justificación</t>
  </si>
  <si>
    <t>Impacto (plazo/costo/alcance)</t>
  </si>
  <si>
    <t>Solicitante</t>
  </si>
  <si>
    <t>Aprobado por</t>
  </si>
  <si>
    <t>Fecha Aprob.</t>
  </si>
  <si>
    <t>Reducción del largo total</t>
  </si>
  <si>
    <t>Espacio de instalación con poca holgura</t>
  </si>
  <si>
    <t>Bajo-Medio</t>
  </si>
  <si>
    <t>Propuesto</t>
  </si>
  <si>
    <t>PM / Cliente</t>
  </si>
  <si>
    <t>Informe RFC 001</t>
  </si>
  <si>
    <t>CONFIGURACIÓN</t>
  </si>
  <si>
    <t>Estados y valor de avance</t>
  </si>
  <si>
    <t>Tableros</t>
  </si>
  <si>
    <t>Severidad NC</t>
  </si>
  <si>
    <t>Estado NC</t>
  </si>
  <si>
    <t>Estado Cambio</t>
  </si>
  <si>
    <t>Menor</t>
  </si>
  <si>
    <t>Abierta</t>
  </si>
  <si>
    <t>Mayor</t>
  </si>
  <si>
    <t>En análisis</t>
  </si>
  <si>
    <t>Aprobado</t>
  </si>
  <si>
    <t>Crítica</t>
  </si>
  <si>
    <t>En corrección</t>
  </si>
  <si>
    <t>Rechazado</t>
  </si>
  <si>
    <t>Cerrada</t>
  </si>
  <si>
    <t>Implementado</t>
  </si>
  <si>
    <t>Nota: no modificar los nombres de estado; las hojas los referencian por fórmula.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</si>
</sst>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dd\-mm\-yyyy"/>
  </numFmts>
  <fonts count="19">
    <font>
      <sz val="11"/>
      <color theme="1"/>
      <name val="Calibri"/>
      <family val="2"/>
      <charset val="1"/>
    </font>
    <font>
      <b/>
      <sz val="15"/>
      <color rgb="FFFFFFFF"/>
      <name val="Arial"/>
      <charset val="1"/>
    </font>
    <font>
      <i/>
      <sz val="9"/>
      <color rgb="FF808080"/>
      <name val="Arial"/>
      <charset val="1"/>
    </font>
    <font>
      <b/>
      <sz val="10"/>
      <color rgb="FFFFFFFF"/>
      <name val="Arial"/>
      <charset val="1"/>
    </font>
    <font>
      <b/>
      <sz val="10"/>
      <color rgb="FF000000"/>
      <name val="Arial"/>
      <charset val="1"/>
    </font>
    <font>
      <sz val="10"/>
      <color rgb="FF000000"/>
      <name val="Arial"/>
      <charset val="1"/>
    </font>
    <font>
      <sz val="10"/>
      <color rgb="FF9C0006"/>
      <name val="Arial"/>
      <charset val="1"/>
    </font>
    <font>
      <sz val="10"/>
      <color rgb="FF9C6500"/>
      <name val="Arial"/>
      <charset val="1"/>
    </font>
    <font>
      <sz val="10"/>
      <color rgb="FF006100"/>
      <name val="Arial"/>
      <charset val="1"/>
    </font>
    <font>
      <b/>
      <sz val="14"/>
      <color rgb="FFFFFFFF"/>
      <name val="Arial"/>
      <charset val="1"/>
    </font>
    <font>
      <b/>
      <sz val="7"/>
      <color rgb="FF808080"/>
      <name val="Arial"/>
      <charset val="1"/>
    </font>
    <font>
      <b/>
      <sz val="7"/>
      <color rgb="FFFFFFFF"/>
      <name val="Arial"/>
      <charset val="1"/>
    </font>
    <font>
      <sz val="9"/>
      <color rgb="FF000000"/>
      <name val="Arial"/>
      <charset val="1"/>
    </font>
    <font>
      <sz val="7"/>
      <color rgb="FF000000"/>
      <name val="Arial"/>
      <charset val="1"/>
    </font>
    <font>
      <b/>
      <sz val="11"/>
      <color rgb="FFFFFFFF"/>
      <name val="Arial"/>
      <charset val="1"/>
    </font>
    <font>
      <b/>
      <sz val="16"/>
      <color rgb="FF1F3864"/>
      <name val="Arial"/>
      <charset val="1"/>
    </font>
    <font>
      <b/>
      <sz val="11"/>
      <color rgb="FF1F3864"/>
      <name val="Arial"/>
      <charset val="1"/>
    </font>
    <font>
      <b/>
      <sz val="10"/>
      <color rgb="FF1F3864"/>
      <name val="Arial"/>
      <charset val="1"/>
    </font>
    <font>
      <b/>
      <sz val="14"/>
      <color rgb="FF1F3864"/>
      <name val="Arial"/>
      <charset val="1"/>
    </font>
  </fonts>
  <fills count="1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496"/>
        <bgColor rgb="FF1F3864"/>
      </patternFill>
    </fill>
    <fill>
      <patternFill patternType="solid">
        <fgColor rgb="FFD9D9D9"/>
        <bgColor rgb="FFE7E6E6"/>
      </patternFill>
    </fill>
    <fill>
      <patternFill patternType="solid">
        <fgColor rgb="FFFFC7CE"/>
        <bgColor rgb="FFD9D9D9"/>
      </patternFill>
    </fill>
    <fill>
      <patternFill patternType="solid">
        <fgColor rgb="FFFFEB9C"/>
        <bgColor rgb="FFE7E6E6"/>
      </patternFill>
    </fill>
    <fill>
      <patternFill patternType="solid">
        <fgColor rgb="FFC6EFCE"/>
        <bgColor rgb="FFDDEBF7"/>
      </patternFill>
    </fill>
    <fill>
      <patternFill patternType="solid">
        <fgColor rgb="FFE7E6E6"/>
        <bgColor rgb="FFDDEBF7"/>
      </patternFill>
    </fill>
    <fill>
      <patternFill patternType="solid">
        <fgColor rgb="FF808080"/>
        <bgColor rgb="FF969696"/>
      </patternFill>
    </fill>
    <fill>
      <patternFill patternType="solid">
        <fgColor rgb="FFF2F2F2"/>
        <bgColor rgb="FFE7E6E6"/>
      </patternFill>
    </fill>
    <fill>
      <patternFill patternType="solid">
        <fgColor rgb="FF63C384"/>
        <bgColor rgb="FF339966"/>
      </patternFill>
    </fill>
    <fill>
      <patternFill patternType="solid">
        <fgColor rgb="FFFFC000"/>
        <bgColor rgb="FFFF9900"/>
      </patternFill>
    </fill>
    <fill>
      <patternFill patternType="solid">
        <fgColor rgb="FFFFFFFF"/>
        <bgColor rgb="FFF2F2F2"/>
      </patternFill>
    </fill>
    <fill>
      <patternFill patternType="solid">
        <fgColor rgb="FFDDEBF7"/>
        <bgColor rgb="FFE7E6E6"/>
      </patternFill>
    </fill>
  </fills>
  <borders count="6">
    <border>
      <left/>
      <right/>
      <top/>
      <bottom/>
      <diagonal/>
    </border>
    <border>
      <left style="medium">
        <color rgb="FF808080"/>
      </left>
      <right/>
      <top style="medium">
        <color rgb="FF808080"/>
      </top>
      <bottom style="medium">
        <color rgb="FF808080"/>
      </bottom>
      <diagonal/>
    </border>
    <border>
      <left style="medium">
        <color rgb="FF808080"/>
      </left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rgb="FF808080"/>
      </top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4" fillId="3" borderId="2" xfId="0" applyFont="1" applyFill="1" applyBorder="1" applyAlignment="1">
      <alignment horizontal="left" vertical="center"/>
    </xf>
    <xf numFmtId="0" fontId="5" fillId="8" borderId="3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3" borderId="2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164" fontId="5" fillId="0" borderId="3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165" fontId="5" fillId="0" borderId="3" xfId="0" applyNumberFormat="1" applyFont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164" fontId="4" fillId="4" borderId="3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6" fillId="5" borderId="3" xfId="0" applyFont="1" applyFill="1" applyBorder="1" applyAlignment="1">
      <alignment horizontal="center" vertical="center"/>
    </xf>
    <xf numFmtId="0" fontId="7" fillId="6" borderId="3" xfId="0" applyFont="1" applyFill="1" applyBorder="1" applyAlignment="1">
      <alignment horizontal="center" vertical="center"/>
    </xf>
    <xf numFmtId="0" fontId="8" fillId="7" borderId="3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3" fillId="3" borderId="2" xfId="0" applyFont="1" applyFill="1" applyBorder="1" applyAlignment="1">
      <alignment horizontal="left" vertical="center"/>
    </xf>
    <xf numFmtId="0" fontId="11" fillId="2" borderId="3" xfId="0" applyFont="1" applyFill="1" applyBorder="1" applyAlignment="1">
      <alignment horizontal="center" vertical="center" wrapText="1"/>
    </xf>
    <xf numFmtId="0" fontId="11" fillId="9" borderId="3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left" vertical="center"/>
    </xf>
    <xf numFmtId="0" fontId="12" fillId="0" borderId="3" xfId="0" applyFont="1" applyBorder="1" applyAlignment="1">
      <alignment horizontal="left" vertical="center"/>
    </xf>
    <xf numFmtId="0" fontId="13" fillId="0" borderId="3" xfId="0" applyFont="1" applyBorder="1" applyAlignment="1">
      <alignment horizontal="center" vertical="center"/>
    </xf>
    <xf numFmtId="0" fontId="13" fillId="10" borderId="3" xfId="0" applyFont="1" applyFill="1" applyBorder="1" applyAlignment="1">
      <alignment horizontal="center" vertical="center"/>
    </xf>
    <xf numFmtId="0" fontId="5" fillId="11" borderId="3" xfId="0" applyFont="1" applyFill="1" applyBorder="1" applyAlignment="1">
      <alignment horizontal="left" vertical="center"/>
    </xf>
    <xf numFmtId="0" fontId="5" fillId="12" borderId="3" xfId="0" applyFont="1" applyFill="1" applyBorder="1" applyAlignment="1">
      <alignment horizontal="left" vertical="center"/>
    </xf>
    <xf numFmtId="0" fontId="4" fillId="10" borderId="3" xfId="0" applyFont="1" applyFill="1" applyBorder="1" applyAlignment="1">
      <alignment horizontal="right" vertical="center"/>
    </xf>
    <xf numFmtId="0" fontId="5" fillId="8" borderId="3" xfId="0" applyFont="1" applyFill="1" applyBorder="1" applyAlignment="1">
      <alignment horizontal="left" vertical="center"/>
    </xf>
    <xf numFmtId="0" fontId="16" fillId="8" borderId="3" xfId="0" applyFont="1" applyFill="1" applyBorder="1" applyAlignment="1">
      <alignment horizontal="left" vertical="center"/>
    </xf>
    <xf numFmtId="0" fontId="4" fillId="8" borderId="3" xfId="0" applyFont="1" applyFill="1" applyBorder="1" applyAlignment="1">
      <alignment horizontal="center" vertical="center"/>
    </xf>
    <xf numFmtId="9" fontId="4" fillId="8" borderId="3" xfId="0" applyNumberFormat="1" applyFont="1" applyFill="1" applyBorder="1" applyAlignment="1">
      <alignment horizontal="center" vertical="center"/>
    </xf>
    <xf numFmtId="165" fontId="17" fillId="8" borderId="3" xfId="0" applyNumberFormat="1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left" vertical="center" wrapText="1"/>
    </xf>
    <xf numFmtId="9" fontId="5" fillId="0" borderId="3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horizontal="left" vertical="center"/>
    </xf>
    <xf numFmtId="165" fontId="12" fillId="0" borderId="3" xfId="0" applyNumberFormat="1" applyFont="1" applyBorder="1" applyAlignment="1">
      <alignment horizontal="center" vertical="center"/>
    </xf>
    <xf numFmtId="0" fontId="12" fillId="0" borderId="3" xfId="0" applyFont="1" applyBorder="1" applyAlignment="1">
      <alignment horizontal="left" vertical="center" wrapText="1"/>
    </xf>
    <xf numFmtId="1" fontId="12" fillId="0" borderId="3" xfId="0" applyNumberFormat="1" applyFont="1" applyBorder="1" applyAlignment="1">
      <alignment horizontal="center" vertical="center"/>
    </xf>
    <xf numFmtId="0" fontId="18" fillId="0" borderId="0" xfId="0" applyFont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0" fontId="4" fillId="4" borderId="3" xfId="0" applyFont="1" applyFill="1" applyBorder="1" applyAlignment="1">
      <alignment horizontal="left" vertical="center"/>
    </xf>
    <xf numFmtId="0" fontId="0" fillId="0" borderId="0" xfId="0" applyAlignment="1">
      <alignment horizontal="center"/>
    </xf>
    <xf numFmtId="0" fontId="12" fillId="0" borderId="3" xfId="0" applyFont="1" applyBorder="1" applyAlignment="1">
      <alignment horizontal="center" vertical="center" wrapText="1"/>
    </xf>
    <xf numFmtId="0" fontId="14" fillId="3" borderId="2" xfId="0" applyFont="1" applyFill="1" applyBorder="1" applyAlignment="1">
      <alignment horizontal="left" vertical="center"/>
    </xf>
    <xf numFmtId="164" fontId="15" fillId="14" borderId="2" xfId="0" applyNumberFormat="1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left" vertical="center"/>
    </xf>
    <xf numFmtId="0" fontId="5" fillId="13" borderId="3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5" fillId="8" borderId="3" xfId="0" applyFont="1" applyFill="1" applyBorder="1" applyAlignment="1">
      <alignment horizontal="center" vertical="center"/>
    </xf>
    <xf numFmtId="165" fontId="12" fillId="0" borderId="4" xfId="0" applyNumberFormat="1" applyFont="1" applyBorder="1" applyAlignment="1">
      <alignment horizontal="center" vertical="center"/>
    </xf>
    <xf numFmtId="165" fontId="12" fillId="0" borderId="5" xfId="0" applyNumberFormat="1" applyFont="1" applyBorder="1" applyAlignment="1">
      <alignment horizontal="center" vertical="center"/>
    </xf>
    <xf numFmtId="14" fontId="5" fillId="13" borderId="3" xfId="0" applyNumberFormat="1" applyFont="1" applyFill="1" applyBorder="1" applyAlignment="1">
      <alignment horizontal="left" vertical="center"/>
    </xf>
    <xf numFmtId="16" fontId="5" fillId="8" borderId="3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78">
    <dxf>
      <font>
        <color rgb="FF1F3864"/>
        <name val="Arial"/>
        <charset val="1"/>
      </font>
      <fill>
        <patternFill>
          <bgColor rgb="FFDDEBF7"/>
        </patternFill>
      </fill>
    </dxf>
    <dxf>
      <font>
        <color rgb="FF9C6500"/>
        <name val="Arial"/>
        <charset val="1"/>
      </font>
      <fill>
        <patternFill>
          <bgColor rgb="FFFFEB9C"/>
        </patternFill>
      </fill>
    </dxf>
    <dxf>
      <font>
        <color rgb="FF9C0006"/>
        <name val="Arial"/>
        <charset val="1"/>
      </font>
      <fill>
        <patternFill>
          <bgColor rgb="FFFFC7CE"/>
        </patternFill>
      </fill>
    </dxf>
    <dxf>
      <font>
        <color rgb="FF006100"/>
        <name val="Arial"/>
        <charset val="1"/>
      </font>
      <fill>
        <patternFill>
          <bgColor rgb="FFC6EFCE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ont>
        <color rgb="FF9C0006"/>
        <name val="Arial"/>
        <charset val="1"/>
      </font>
      <fill>
        <patternFill>
          <bgColor rgb="FFFFC7CE"/>
        </patternFill>
      </fill>
    </dxf>
    <dxf>
      <font>
        <color rgb="FF006100"/>
        <name val="Arial"/>
        <charset val="1"/>
      </font>
      <fill>
        <patternFill>
          <bgColor rgb="FFC6EFCE"/>
        </patternFill>
      </fill>
    </dxf>
    <dxf>
      <font>
        <color rgb="FF9C6500"/>
        <name val="Arial"/>
        <charset val="1"/>
      </font>
      <fill>
        <patternFill>
          <bgColor rgb="FFFFEB9C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ont>
        <color rgb="FF9C0006"/>
        <name val="Arial"/>
        <charset val="1"/>
      </font>
      <fill>
        <patternFill>
          <bgColor rgb="FFFFC7CE"/>
        </patternFill>
      </fill>
    </dxf>
    <dxf>
      <font>
        <color rgb="FF9C6500"/>
        <name val="Arial"/>
        <charset val="1"/>
      </font>
      <fill>
        <patternFill>
          <bgColor rgb="FFFFEB9C"/>
        </patternFill>
      </fill>
    </dxf>
    <dxf>
      <font>
        <color rgb="FF006100"/>
        <name val="Arial"/>
        <charset val="1"/>
      </font>
      <fill>
        <patternFill>
          <bgColor rgb="FFC6EFCE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ont>
        <color rgb="FF9C0006"/>
        <name val="Arial"/>
        <charset val="1"/>
      </font>
      <fill>
        <patternFill>
          <bgColor rgb="FFFFC7CE"/>
        </patternFill>
      </fill>
    </dxf>
    <dxf>
      <font>
        <color rgb="FF9C6500"/>
        <name val="Arial"/>
        <charset val="1"/>
      </font>
      <fill>
        <patternFill>
          <bgColor rgb="FFFFEB9C"/>
        </patternFill>
      </fill>
    </dxf>
    <dxf>
      <font>
        <color rgb="FF006100"/>
        <name val="Arial"/>
        <charset val="1"/>
      </font>
      <fill>
        <patternFill>
          <bgColor rgb="FFC6EFCE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ont>
        <color rgb="FF9C0006"/>
        <name val="Arial"/>
        <charset val="1"/>
      </font>
      <fill>
        <patternFill>
          <bgColor rgb="FFFFC7CE"/>
        </patternFill>
      </fill>
    </dxf>
    <dxf>
      <font>
        <color rgb="FF9C6500"/>
        <name val="Arial"/>
        <charset val="1"/>
      </font>
      <fill>
        <patternFill>
          <bgColor rgb="FFFFEB9C"/>
        </patternFill>
      </fill>
    </dxf>
    <dxf>
      <font>
        <color rgb="FF006100"/>
        <name val="Arial"/>
        <charset val="1"/>
      </font>
      <fill>
        <patternFill>
          <bgColor rgb="FFC6EFCE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ont>
        <color rgb="FF9C0006"/>
        <name val="Arial"/>
        <charset val="1"/>
      </font>
      <fill>
        <patternFill>
          <bgColor rgb="FFFFC7CE"/>
        </patternFill>
      </fill>
    </dxf>
    <dxf>
      <font>
        <color rgb="FF9C6500"/>
        <name val="Arial"/>
        <charset val="1"/>
      </font>
      <fill>
        <patternFill>
          <bgColor rgb="FFFFEB9C"/>
        </patternFill>
      </fill>
    </dxf>
    <dxf>
      <font>
        <color rgb="FF006100"/>
        <name val="Arial"/>
        <charset val="1"/>
      </font>
      <fill>
        <patternFill>
          <bgColor rgb="FFC6EFCE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ont>
        <color rgb="FF9C0006"/>
        <name val="Arial"/>
        <charset val="1"/>
      </font>
      <fill>
        <patternFill>
          <bgColor rgb="FFFFC7CE"/>
        </patternFill>
      </fill>
    </dxf>
    <dxf>
      <font>
        <color rgb="FF9C6500"/>
        <name val="Arial"/>
        <charset val="1"/>
      </font>
      <fill>
        <patternFill>
          <bgColor rgb="FFFFEB9C"/>
        </patternFill>
      </fill>
    </dxf>
    <dxf>
      <font>
        <color rgb="FF006100"/>
        <name val="Arial"/>
        <charset val="1"/>
      </font>
      <fill>
        <patternFill>
          <bgColor rgb="FFC6EFCE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ont>
        <color rgb="FF9C0006"/>
        <name val="Arial"/>
        <charset val="1"/>
      </font>
      <fill>
        <patternFill>
          <bgColor rgb="FFFFC7CE"/>
        </patternFill>
      </fill>
    </dxf>
    <dxf>
      <font>
        <color rgb="FF9C6500"/>
        <name val="Arial"/>
        <charset val="1"/>
      </font>
      <fill>
        <patternFill>
          <bgColor rgb="FFFFEB9C"/>
        </patternFill>
      </fill>
    </dxf>
    <dxf>
      <font>
        <color rgb="FF006100"/>
        <name val="Arial"/>
        <charset val="1"/>
      </font>
      <fill>
        <patternFill>
          <bgColor rgb="FFC6EFCE"/>
        </patternFill>
      </fill>
    </dxf>
    <dxf>
      <font>
        <color rgb="FF9C0006"/>
        <name val="Arial"/>
        <charset val="1"/>
      </font>
      <fill>
        <patternFill>
          <bgColor rgb="FFFFC7CE"/>
        </patternFill>
      </fill>
    </dxf>
    <dxf>
      <font>
        <color rgb="FF9C6500"/>
        <name val="Arial"/>
        <charset val="1"/>
      </font>
      <fill>
        <patternFill>
          <bgColor rgb="FFFFEB9C"/>
        </patternFill>
      </fill>
    </dxf>
    <dxf>
      <font>
        <b/>
        <color rgb="FF006100"/>
        <name val="Arial"/>
        <charset val="1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BFBFBF"/>
      <rgbColor rgb="FF808080"/>
      <rgbColor rgb="FF9999FF"/>
      <rgbColor rgb="FF993366"/>
      <rgbColor rgb="FFF2F2F2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C6EFCE"/>
      <rgbColor rgb="FFFFEB9C"/>
      <rgbColor rgb="FF99CCFF"/>
      <rgbColor rgb="FFFF99CC"/>
      <rgbColor rgb="FFCC99FF"/>
      <rgbColor rgb="FFFFC7CE"/>
      <rgbColor rgb="FF3366FF"/>
      <rgbColor rgb="FF63C384"/>
      <rgbColor rgb="FF99CC00"/>
      <rgbColor rgb="FFFFC0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B2:I16"/>
  <sheetViews>
    <sheetView showGridLines="0" zoomScaleNormal="100" workbookViewId="0">
      <selection activeCell="C6" sqref="C6:C10"/>
    </sheetView>
  </sheetViews>
  <sheetFormatPr defaultColWidth="8.7109375" defaultRowHeight="14.45"/>
  <cols>
    <col min="1" max="1" width="2" customWidth="1"/>
    <col min="2" max="2" width="26.85546875" bestFit="1" customWidth="1"/>
    <col min="3" max="3" width="15" customWidth="1"/>
    <col min="4" max="4" width="17" customWidth="1"/>
    <col min="5" max="5" width="13" customWidth="1"/>
    <col min="6" max="7" width="16" customWidth="1"/>
    <col min="8" max="8" width="12" customWidth="1"/>
    <col min="9" max="9" width="13" customWidth="1"/>
  </cols>
  <sheetData>
    <row r="2" spans="2:9" ht="19.149999999999999">
      <c r="B2" s="49" t="s">
        <v>0</v>
      </c>
      <c r="C2" s="49"/>
      <c r="D2" s="49"/>
      <c r="E2" s="49"/>
      <c r="F2" s="49"/>
      <c r="G2" s="49"/>
      <c r="H2" s="49"/>
      <c r="I2" s="49"/>
    </row>
    <row r="3" spans="2:9">
      <c r="B3" s="50" t="s">
        <v>1</v>
      </c>
      <c r="C3" s="50"/>
      <c r="D3" s="50"/>
      <c r="E3" s="50"/>
      <c r="F3" s="50"/>
      <c r="G3" s="50"/>
      <c r="H3" s="50"/>
      <c r="I3" s="50"/>
    </row>
    <row r="5" spans="2:9" ht="26.45">
      <c r="B5" s="4" t="s">
        <v>2</v>
      </c>
      <c r="C5" s="4" t="s">
        <v>3</v>
      </c>
      <c r="D5" s="4" t="s">
        <v>4</v>
      </c>
      <c r="E5" s="4" t="s">
        <v>5</v>
      </c>
      <c r="F5" s="4" t="s">
        <v>6</v>
      </c>
      <c r="G5" s="4" t="s">
        <v>7</v>
      </c>
      <c r="H5" s="4" t="s">
        <v>8</v>
      </c>
      <c r="I5" s="4" t="s">
        <v>9</v>
      </c>
    </row>
    <row r="6" spans="2:9">
      <c r="B6" s="5" t="s">
        <v>10</v>
      </c>
      <c r="C6" s="6">
        <f>TP!$G$7</f>
        <v>0.11842105263157894</v>
      </c>
      <c r="D6" s="7" t="str">
        <f t="shared" ref="D6:D11" si="0">IF(C6&gt;=1,"Completado",IF(C6&gt;=0.99,"Por liberar",IF(C6&gt;0,"En proceso","No iniciado")))</f>
        <v>En proceso</v>
      </c>
      <c r="E6" s="8">
        <f>TP!$G$10</f>
        <v>46202</v>
      </c>
      <c r="F6" s="8">
        <f>TP!$H$52</f>
        <v>46217</v>
      </c>
      <c r="G6" s="8">
        <f>TP!$J$55</f>
        <v>0</v>
      </c>
      <c r="H6" s="7">
        <f>COUNTIFS(NoConformidades!$C:$C,B6,NoConformidades!$H:$H,"&lt;&gt;Cerrada")</f>
        <v>0</v>
      </c>
      <c r="I6" s="7">
        <f>COUNTIFS(ControlCambios!$C:$C,B6,ControlCambios!$G:$G,"Propuesto")</f>
        <v>0</v>
      </c>
    </row>
    <row r="7" spans="2:9">
      <c r="B7" s="5" t="s">
        <v>11</v>
      </c>
      <c r="C7" s="6">
        <f>T_G2!$G$7</f>
        <v>0.11842105263157894</v>
      </c>
      <c r="D7" s="7" t="str">
        <f>IF(C7&gt;=1,"Completado",IF(C7&gt;=0.99,"Por liberar",IF(C7&gt;0,"En proceso","No iniciado")))</f>
        <v>En proceso</v>
      </c>
      <c r="E7" s="8">
        <f>T_G2!$G$10</f>
        <v>46202</v>
      </c>
      <c r="F7" s="8">
        <f>T_G2!$H$52</f>
        <v>46217</v>
      </c>
      <c r="G7" s="8">
        <f>T_G2!$J$55</f>
        <v>0</v>
      </c>
      <c r="H7" s="7">
        <f>COUNTIFS(NoConformidades!$C:$C,B7,NoConformidades!$H:$H,"&lt;&gt;Cerrada")</f>
        <v>0</v>
      </c>
      <c r="I7" s="7">
        <f>COUNTIFS(ControlCambios!$C:$C,B7,ControlCambios!$G:$G,"Propuesto")</f>
        <v>0</v>
      </c>
    </row>
    <row r="8" spans="2:9">
      <c r="B8" s="5" t="s">
        <v>12</v>
      </c>
      <c r="C8" s="6">
        <f>BUS_A!$G$7</f>
        <v>0.11842105263157894</v>
      </c>
      <c r="D8" s="7" t="str">
        <f t="shared" si="0"/>
        <v>En proceso</v>
      </c>
      <c r="E8" s="8">
        <f>BUS_A!$G$10</f>
        <v>46202</v>
      </c>
      <c r="F8" s="8">
        <f>BUS_A!$H$52</f>
        <v>46217</v>
      </c>
      <c r="G8" s="8">
        <f>BUS_A!$J$55</f>
        <v>0</v>
      </c>
      <c r="H8" s="7">
        <f>COUNTIFS(NoConformidades!$C:$C,B8,NoConformidades!$H:$H,"&lt;&gt;Cerrada")</f>
        <v>0</v>
      </c>
      <c r="I8" s="7">
        <f>COUNTIFS(ControlCambios!$C:$C,B8,ControlCambios!$G:$G,"Propuesto")</f>
        <v>0</v>
      </c>
    </row>
    <row r="9" spans="2:9">
      <c r="B9" s="5" t="s">
        <v>13</v>
      </c>
      <c r="C9" s="6">
        <f>BUS_B!$G$7</f>
        <v>0.11842105263157894</v>
      </c>
      <c r="D9" s="7" t="str">
        <f t="shared" si="0"/>
        <v>En proceso</v>
      </c>
      <c r="E9" s="8">
        <f>BUS_B!$G$10</f>
        <v>46202</v>
      </c>
      <c r="F9" s="8">
        <f>BUS_B!$H$52</f>
        <v>46217</v>
      </c>
      <c r="G9" s="8">
        <f>BUS_B!$J$55</f>
        <v>0</v>
      </c>
      <c r="H9" s="7">
        <f>COUNTIFS(NoConformidades!$C:$C,B9,NoConformidades!$H:$H,"&lt;&gt;Cerrada")</f>
        <v>0</v>
      </c>
      <c r="I9" s="7">
        <f>COUNTIFS(ControlCambios!$C:$C,B9,ControlCambios!$G:$G,"Propuesto")</f>
        <v>0</v>
      </c>
    </row>
    <row r="10" spans="2:9">
      <c r="B10" s="5" t="s">
        <v>14</v>
      </c>
      <c r="C10" s="6">
        <f>CLIMA_A!$G$7</f>
        <v>0.20512820512820512</v>
      </c>
      <c r="D10" s="7" t="str">
        <f t="shared" si="0"/>
        <v>En proceso</v>
      </c>
      <c r="E10" s="8">
        <f>CLIMA_A!$G$10</f>
        <v>46202</v>
      </c>
      <c r="F10" s="8">
        <f>CLIMA_A!$H$52</f>
        <v>46217</v>
      </c>
      <c r="G10" s="8">
        <f>CLIMA_A!$J$55</f>
        <v>0</v>
      </c>
      <c r="H10" s="7">
        <f>COUNTIFS(NoConformidades!$C:$C,B10,NoConformidades!$H:$H,"&lt;&gt;Cerrada")</f>
        <v>0</v>
      </c>
      <c r="I10" s="7">
        <f>COUNTIFS(ControlCambios!$C:$C,B10,ControlCambios!$G:$G,"Propuesto")</f>
        <v>0</v>
      </c>
    </row>
    <row r="11" spans="2:9">
      <c r="B11" s="5" t="s">
        <v>15</v>
      </c>
      <c r="C11" s="6">
        <f>CLIMA_B!$G$7</f>
        <v>0.20512820512820512</v>
      </c>
      <c r="D11" s="7" t="str">
        <f t="shared" si="0"/>
        <v>En proceso</v>
      </c>
      <c r="E11" s="8">
        <f>CLIMA_B!$G$10</f>
        <v>46202</v>
      </c>
      <c r="F11" s="8">
        <f>CLIMA_B!$H$52</f>
        <v>46217</v>
      </c>
      <c r="G11" s="8">
        <f>CLIMA_B!$J$55</f>
        <v>0</v>
      </c>
      <c r="H11" s="7">
        <f>COUNTIFS(NoConformidades!$C:$C,B11,NoConformidades!$H:$H,"&lt;&gt;Cerrada")</f>
        <v>0</v>
      </c>
      <c r="I11" s="7">
        <f>COUNTIFS(ControlCambios!$C:$C,B11,ControlCambios!$G:$G,"Propuesto")</f>
        <v>0</v>
      </c>
    </row>
    <row r="12" spans="2:9">
      <c r="B12" s="9" t="s">
        <v>16</v>
      </c>
      <c r="C12" s="10">
        <f>AVERAGE(C6:C11)</f>
        <v>0.14732343679712101</v>
      </c>
      <c r="D12" s="11"/>
      <c r="E12" s="11"/>
      <c r="F12" s="11"/>
      <c r="G12" s="11"/>
      <c r="H12" s="9">
        <f>SUM(H6:H11)</f>
        <v>0</v>
      </c>
      <c r="I12" s="9">
        <f>SUM(I6:I11)</f>
        <v>0</v>
      </c>
    </row>
    <row r="15" spans="2:9">
      <c r="B15" s="12" t="s">
        <v>17</v>
      </c>
    </row>
    <row r="16" spans="2:9">
      <c r="B16" s="13" t="s">
        <v>18</v>
      </c>
      <c r="C16" s="14" t="s">
        <v>19</v>
      </c>
      <c r="D16" s="15" t="s">
        <v>20</v>
      </c>
      <c r="E16" s="51" t="s">
        <v>21</v>
      </c>
      <c r="F16" s="51"/>
    </row>
  </sheetData>
  <mergeCells count="3">
    <mergeCell ref="B2:I2"/>
    <mergeCell ref="B3:I3"/>
    <mergeCell ref="E16:F16"/>
  </mergeCells>
  <conditionalFormatting sqref="C6:C11">
    <cfRule type="cellIs" dxfId="77" priority="2" operator="greaterThanOrEqual">
      <formula>1</formula>
    </cfRule>
    <cfRule type="cellIs" dxfId="76" priority="3" operator="between">
      <formula>0.001</formula>
      <formula>0.9999</formula>
    </cfRule>
    <cfRule type="cellIs" dxfId="75" priority="4" operator="equal">
      <formula>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B2:AP60"/>
  <sheetViews>
    <sheetView showGridLines="0" zoomScaleNormal="100" workbookViewId="0">
      <pane xSplit="2" ySplit="4" topLeftCell="C5" activePane="bottomRight" state="frozen"/>
      <selection pane="bottomRight" activeCell="N52" sqref="N52"/>
      <selection pane="bottomLeft" activeCell="A5" sqref="A5"/>
      <selection pane="topRight" activeCell="C1" sqref="C1"/>
    </sheetView>
  </sheetViews>
  <sheetFormatPr defaultColWidth="8.7109375" defaultRowHeight="14.45"/>
  <cols>
    <col min="2" max="2" width="34" customWidth="1"/>
    <col min="3" max="42" width="3.28515625" customWidth="1"/>
  </cols>
  <sheetData>
    <row r="2" spans="2:42" ht="17.45">
      <c r="B2" s="16" t="s">
        <v>22</v>
      </c>
    </row>
    <row r="3" spans="2:42">
      <c r="C3" s="17" t="s">
        <v>23</v>
      </c>
      <c r="D3" s="17" t="s">
        <v>24</v>
      </c>
      <c r="E3" s="17" t="s">
        <v>24</v>
      </c>
      <c r="F3" s="17" t="s">
        <v>25</v>
      </c>
      <c r="G3" s="17" t="s">
        <v>26</v>
      </c>
      <c r="H3" s="17" t="s">
        <v>27</v>
      </c>
      <c r="I3" s="17" t="s">
        <v>28</v>
      </c>
      <c r="J3" s="17" t="s">
        <v>23</v>
      </c>
      <c r="K3" s="17" t="s">
        <v>24</v>
      </c>
      <c r="L3" s="17" t="s">
        <v>24</v>
      </c>
      <c r="M3" s="17" t="s">
        <v>25</v>
      </c>
      <c r="N3" s="17" t="s">
        <v>26</v>
      </c>
      <c r="O3" s="17" t="s">
        <v>27</v>
      </c>
      <c r="P3" s="17" t="s">
        <v>28</v>
      </c>
      <c r="Q3" s="17" t="s">
        <v>23</v>
      </c>
      <c r="R3" s="17" t="s">
        <v>24</v>
      </c>
      <c r="S3" s="17" t="s">
        <v>24</v>
      </c>
      <c r="T3" s="17" t="s">
        <v>25</v>
      </c>
      <c r="U3" s="17" t="s">
        <v>26</v>
      </c>
      <c r="V3" s="17" t="s">
        <v>27</v>
      </c>
      <c r="W3" s="17" t="s">
        <v>28</v>
      </c>
      <c r="X3" s="17" t="s">
        <v>23</v>
      </c>
      <c r="Y3" s="17" t="s">
        <v>24</v>
      </c>
      <c r="Z3" s="17" t="s">
        <v>24</v>
      </c>
      <c r="AA3" s="17" t="s">
        <v>25</v>
      </c>
      <c r="AB3" s="17" t="s">
        <v>26</v>
      </c>
      <c r="AC3" s="17" t="s">
        <v>27</v>
      </c>
      <c r="AD3" s="17" t="s">
        <v>28</v>
      </c>
      <c r="AE3" s="17" t="s">
        <v>23</v>
      </c>
      <c r="AF3" s="17" t="s">
        <v>24</v>
      </c>
      <c r="AG3" s="17" t="s">
        <v>24</v>
      </c>
      <c r="AH3" s="17" t="s">
        <v>25</v>
      </c>
      <c r="AI3" s="17" t="s">
        <v>26</v>
      </c>
      <c r="AJ3" s="17" t="s">
        <v>27</v>
      </c>
      <c r="AK3" s="17" t="s">
        <v>28</v>
      </c>
      <c r="AL3" s="17" t="s">
        <v>23</v>
      </c>
      <c r="AM3" s="17" t="s">
        <v>24</v>
      </c>
      <c r="AN3" s="17" t="s">
        <v>24</v>
      </c>
      <c r="AO3" s="17" t="s">
        <v>25</v>
      </c>
      <c r="AP3" s="17" t="s">
        <v>26</v>
      </c>
    </row>
    <row r="4" spans="2:42" ht="19.149999999999999">
      <c r="B4" s="18" t="s">
        <v>29</v>
      </c>
      <c r="C4" s="19" t="s">
        <v>30</v>
      </c>
      <c r="D4" s="19" t="s">
        <v>31</v>
      </c>
      <c r="E4" s="19" t="s">
        <v>32</v>
      </c>
      <c r="F4" s="19" t="s">
        <v>33</v>
      </c>
      <c r="G4" s="19" t="s">
        <v>34</v>
      </c>
      <c r="H4" s="20" t="s">
        <v>35</v>
      </c>
      <c r="I4" s="20" t="s">
        <v>36</v>
      </c>
      <c r="J4" s="19" t="s">
        <v>37</v>
      </c>
      <c r="K4" s="19" t="s">
        <v>38</v>
      </c>
      <c r="L4" s="19" t="s">
        <v>39</v>
      </c>
      <c r="M4" s="19" t="s">
        <v>40</v>
      </c>
      <c r="N4" s="19" t="s">
        <v>41</v>
      </c>
      <c r="O4" s="20" t="s">
        <v>42</v>
      </c>
      <c r="P4" s="20" t="s">
        <v>43</v>
      </c>
      <c r="Q4" s="19" t="s">
        <v>44</v>
      </c>
      <c r="R4" s="19" t="s">
        <v>45</v>
      </c>
      <c r="S4" s="19" t="s">
        <v>46</v>
      </c>
      <c r="T4" s="19" t="s">
        <v>47</v>
      </c>
      <c r="U4" s="19" t="s">
        <v>48</v>
      </c>
      <c r="V4" s="20" t="s">
        <v>49</v>
      </c>
      <c r="W4" s="20" t="s">
        <v>50</v>
      </c>
      <c r="X4" s="19" t="s">
        <v>51</v>
      </c>
      <c r="Y4" s="19" t="s">
        <v>52</v>
      </c>
      <c r="Z4" s="19" t="s">
        <v>53</v>
      </c>
      <c r="AA4" s="19" t="s">
        <v>54</v>
      </c>
      <c r="AB4" s="19" t="s">
        <v>55</v>
      </c>
      <c r="AC4" s="20" t="s">
        <v>56</v>
      </c>
      <c r="AD4" s="20" t="s">
        <v>57</v>
      </c>
      <c r="AE4" s="19" t="s">
        <v>58</v>
      </c>
      <c r="AF4" s="19" t="s">
        <v>59</v>
      </c>
      <c r="AG4" s="19" t="s">
        <v>60</v>
      </c>
      <c r="AH4" s="19" t="s">
        <v>61</v>
      </c>
      <c r="AI4" s="19" t="s">
        <v>62</v>
      </c>
      <c r="AJ4" s="20" t="s">
        <v>63</v>
      </c>
      <c r="AK4" s="20" t="s">
        <v>64</v>
      </c>
      <c r="AL4" s="19" t="s">
        <v>65</v>
      </c>
      <c r="AM4" s="19" t="s">
        <v>66</v>
      </c>
      <c r="AN4" s="19" t="s">
        <v>67</v>
      </c>
      <c r="AO4" s="19" t="s">
        <v>68</v>
      </c>
      <c r="AP4" s="19" t="s">
        <v>69</v>
      </c>
    </row>
    <row r="5" spans="2:42">
      <c r="B5" s="18" t="s">
        <v>10</v>
      </c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</row>
    <row r="6" spans="2:42">
      <c r="B6" s="22" t="s">
        <v>70</v>
      </c>
      <c r="C6" s="23"/>
      <c r="D6" s="23"/>
      <c r="E6" s="23"/>
      <c r="F6" s="23"/>
      <c r="G6" s="23"/>
      <c r="H6" s="24"/>
      <c r="I6" s="24"/>
      <c r="J6" s="25"/>
      <c r="K6" s="25"/>
      <c r="L6" s="25"/>
      <c r="M6" s="25"/>
      <c r="N6" s="23"/>
      <c r="O6" s="24"/>
      <c r="P6" s="24"/>
      <c r="Q6" s="23"/>
      <c r="R6" s="23"/>
      <c r="S6" s="23"/>
      <c r="T6" s="23"/>
      <c r="U6" s="23"/>
      <c r="V6" s="24"/>
      <c r="W6" s="24"/>
      <c r="X6" s="23"/>
      <c r="Y6" s="23"/>
      <c r="Z6" s="23"/>
      <c r="AA6" s="23"/>
      <c r="AB6" s="23"/>
      <c r="AC6" s="24"/>
      <c r="AD6" s="24"/>
      <c r="AE6" s="23"/>
      <c r="AF6" s="23"/>
      <c r="AG6" s="23"/>
      <c r="AH6" s="23"/>
      <c r="AI6" s="23"/>
      <c r="AJ6" s="24"/>
      <c r="AK6" s="24"/>
      <c r="AL6" s="23"/>
      <c r="AM6" s="23"/>
      <c r="AN6" s="23"/>
      <c r="AO6" s="23"/>
      <c r="AP6" s="23"/>
    </row>
    <row r="7" spans="2:42">
      <c r="B7" s="22" t="s">
        <v>71</v>
      </c>
      <c r="C7" s="23"/>
      <c r="D7" s="23"/>
      <c r="E7" s="23"/>
      <c r="F7" s="23"/>
      <c r="G7" s="23"/>
      <c r="H7" s="24"/>
      <c r="I7" s="24"/>
      <c r="J7" s="23"/>
      <c r="K7" s="23"/>
      <c r="L7" s="23"/>
      <c r="M7" s="25"/>
      <c r="N7" s="25"/>
      <c r="O7" s="24"/>
      <c r="P7" s="24"/>
      <c r="Q7" s="23"/>
      <c r="R7" s="23"/>
      <c r="S7" s="23"/>
      <c r="T7" s="23"/>
      <c r="U7" s="23"/>
      <c r="V7" s="24"/>
      <c r="W7" s="24"/>
      <c r="X7" s="23"/>
      <c r="Y7" s="23"/>
      <c r="Z7" s="23"/>
      <c r="AA7" s="23"/>
      <c r="AB7" s="23"/>
      <c r="AC7" s="24"/>
      <c r="AD7" s="24"/>
      <c r="AE7" s="23"/>
      <c r="AF7" s="23"/>
      <c r="AG7" s="23"/>
      <c r="AH7" s="23"/>
      <c r="AI7" s="23"/>
      <c r="AJ7" s="24"/>
      <c r="AK7" s="24"/>
      <c r="AL7" s="23"/>
      <c r="AM7" s="23"/>
      <c r="AN7" s="23"/>
      <c r="AO7" s="23"/>
      <c r="AP7" s="23"/>
    </row>
    <row r="8" spans="2:42">
      <c r="B8" s="22" t="s">
        <v>72</v>
      </c>
      <c r="C8" s="23"/>
      <c r="D8" s="23"/>
      <c r="E8" s="23"/>
      <c r="F8" s="23"/>
      <c r="G8" s="23"/>
      <c r="H8" s="24"/>
      <c r="I8" s="24"/>
      <c r="J8" s="23"/>
      <c r="K8" s="23"/>
      <c r="L8" s="23"/>
      <c r="M8" s="25"/>
      <c r="N8" s="25"/>
      <c r="O8" s="24"/>
      <c r="P8" s="24"/>
      <c r="Q8" s="23"/>
      <c r="R8" s="23"/>
      <c r="S8" s="23"/>
      <c r="T8" s="23"/>
      <c r="U8" s="23"/>
      <c r="V8" s="24"/>
      <c r="W8" s="24"/>
      <c r="X8" s="23"/>
      <c r="Y8" s="23"/>
      <c r="Z8" s="23"/>
      <c r="AA8" s="23"/>
      <c r="AB8" s="23"/>
      <c r="AC8" s="24"/>
      <c r="AD8" s="24"/>
      <c r="AE8" s="23"/>
      <c r="AF8" s="23"/>
      <c r="AG8" s="23"/>
      <c r="AH8" s="23"/>
      <c r="AI8" s="23"/>
      <c r="AJ8" s="24"/>
      <c r="AK8" s="24"/>
      <c r="AL8" s="23"/>
      <c r="AM8" s="23"/>
      <c r="AN8" s="23"/>
      <c r="AO8" s="23"/>
      <c r="AP8" s="23"/>
    </row>
    <row r="9" spans="2:42">
      <c r="B9" s="22" t="s">
        <v>73</v>
      </c>
      <c r="C9" s="23"/>
      <c r="D9" s="23"/>
      <c r="E9" s="23"/>
      <c r="F9" s="23"/>
      <c r="G9" s="23"/>
      <c r="H9" s="24"/>
      <c r="I9" s="24"/>
      <c r="J9" s="23"/>
      <c r="K9" s="23"/>
      <c r="L9" s="23"/>
      <c r="M9" s="23"/>
      <c r="N9" s="23"/>
      <c r="O9" s="24"/>
      <c r="P9" s="25"/>
      <c r="Q9" s="25"/>
      <c r="R9" s="25"/>
      <c r="S9" s="25"/>
      <c r="T9" s="25"/>
      <c r="U9" s="23"/>
      <c r="V9" s="24"/>
      <c r="W9" s="24"/>
      <c r="X9" s="23"/>
      <c r="Y9" s="23"/>
      <c r="Z9" s="23"/>
      <c r="AA9" s="23"/>
      <c r="AB9" s="23"/>
      <c r="AC9" s="24"/>
      <c r="AD9" s="24"/>
      <c r="AE9" s="23"/>
      <c r="AF9" s="23"/>
      <c r="AG9" s="23"/>
      <c r="AH9" s="23"/>
      <c r="AI9" s="23"/>
      <c r="AJ9" s="24"/>
      <c r="AK9" s="24"/>
      <c r="AL9" s="23"/>
      <c r="AM9" s="23"/>
      <c r="AN9" s="23"/>
      <c r="AO9" s="23"/>
      <c r="AP9" s="23"/>
    </row>
    <row r="10" spans="2:42">
      <c r="B10" s="22" t="s">
        <v>74</v>
      </c>
      <c r="C10" s="23"/>
      <c r="D10" s="23"/>
      <c r="E10" s="23"/>
      <c r="F10" s="23"/>
      <c r="G10" s="23"/>
      <c r="H10" s="24"/>
      <c r="I10" s="24"/>
      <c r="J10" s="23"/>
      <c r="K10" s="23"/>
      <c r="L10" s="23"/>
      <c r="M10" s="23"/>
      <c r="N10" s="23"/>
      <c r="O10" s="24"/>
      <c r="P10" s="24"/>
      <c r="Q10" s="23"/>
      <c r="R10" s="23"/>
      <c r="S10" s="23"/>
      <c r="T10" s="23"/>
      <c r="U10" s="25"/>
      <c r="V10" s="24"/>
      <c r="W10" s="24"/>
      <c r="X10" s="23"/>
      <c r="Y10" s="23"/>
      <c r="Z10" s="23"/>
      <c r="AA10" s="23"/>
      <c r="AB10" s="23"/>
      <c r="AC10" s="24"/>
      <c r="AD10" s="24"/>
      <c r="AE10" s="23"/>
      <c r="AF10" s="23"/>
      <c r="AG10" s="23"/>
      <c r="AH10" s="23"/>
      <c r="AI10" s="23"/>
      <c r="AJ10" s="24"/>
      <c r="AK10" s="24"/>
      <c r="AL10" s="23"/>
      <c r="AM10" s="23"/>
      <c r="AN10" s="23"/>
      <c r="AO10" s="23"/>
      <c r="AP10" s="23"/>
    </row>
    <row r="11" spans="2:42">
      <c r="B11" s="22" t="s">
        <v>75</v>
      </c>
      <c r="C11" s="23"/>
      <c r="D11" s="23"/>
      <c r="E11" s="23"/>
      <c r="F11" s="23"/>
      <c r="G11" s="23"/>
      <c r="H11" s="24"/>
      <c r="I11" s="24"/>
      <c r="J11" s="23"/>
      <c r="K11" s="23"/>
      <c r="L11" s="23"/>
      <c r="M11" s="23"/>
      <c r="N11" s="23"/>
      <c r="O11" s="24"/>
      <c r="P11" s="24"/>
      <c r="Q11" s="23"/>
      <c r="R11" s="23"/>
      <c r="S11" s="23"/>
      <c r="T11" s="23"/>
      <c r="U11" s="25"/>
      <c r="V11" s="24"/>
      <c r="W11" s="24"/>
      <c r="X11" s="23"/>
      <c r="Y11" s="23"/>
      <c r="Z11" s="23"/>
      <c r="AA11" s="23"/>
      <c r="AB11" s="23"/>
      <c r="AC11" s="24"/>
      <c r="AD11" s="24"/>
      <c r="AE11" s="23"/>
      <c r="AF11" s="23"/>
      <c r="AG11" s="23"/>
      <c r="AH11" s="23"/>
      <c r="AI11" s="23"/>
      <c r="AJ11" s="24"/>
      <c r="AK11" s="24"/>
      <c r="AL11" s="23"/>
      <c r="AM11" s="23"/>
      <c r="AN11" s="23"/>
      <c r="AO11" s="23"/>
      <c r="AP11" s="23"/>
    </row>
    <row r="12" spans="2:42">
      <c r="B12" s="22" t="s">
        <v>76</v>
      </c>
      <c r="C12" s="23"/>
      <c r="D12" s="23"/>
      <c r="E12" s="23"/>
      <c r="F12" s="23"/>
      <c r="G12" s="23"/>
      <c r="H12" s="24"/>
      <c r="I12" s="24"/>
      <c r="J12" s="23"/>
      <c r="K12" s="23"/>
      <c r="L12" s="23"/>
      <c r="M12" s="23"/>
      <c r="N12" s="23"/>
      <c r="O12" s="24"/>
      <c r="P12" s="24"/>
      <c r="Q12" s="23"/>
      <c r="R12" s="23"/>
      <c r="S12" s="23"/>
      <c r="T12" s="23"/>
      <c r="U12" s="23"/>
      <c r="V12" s="24"/>
      <c r="W12" s="24"/>
      <c r="X12" s="25"/>
      <c r="Y12" s="25"/>
      <c r="Z12" s="23"/>
      <c r="AA12" s="23"/>
      <c r="AB12" s="23"/>
      <c r="AC12" s="24"/>
      <c r="AD12" s="24"/>
      <c r="AE12" s="23"/>
      <c r="AF12" s="23"/>
      <c r="AG12" s="23"/>
      <c r="AH12" s="23"/>
      <c r="AI12" s="23"/>
      <c r="AJ12" s="24"/>
      <c r="AK12" s="24"/>
      <c r="AL12" s="23"/>
      <c r="AM12" s="23"/>
      <c r="AN12" s="23"/>
      <c r="AO12" s="23"/>
      <c r="AP12" s="23"/>
    </row>
    <row r="13" spans="2:42">
      <c r="B13" s="22" t="s">
        <v>77</v>
      </c>
      <c r="C13" s="23"/>
      <c r="D13" s="23"/>
      <c r="E13" s="23"/>
      <c r="F13" s="23"/>
      <c r="G13" s="23"/>
      <c r="H13" s="24"/>
      <c r="I13" s="24"/>
      <c r="J13" s="23"/>
      <c r="K13" s="23"/>
      <c r="L13" s="23"/>
      <c r="M13" s="23"/>
      <c r="N13" s="23"/>
      <c r="O13" s="24"/>
      <c r="P13" s="24"/>
      <c r="Q13" s="23"/>
      <c r="R13" s="23"/>
      <c r="S13" s="23"/>
      <c r="T13" s="23"/>
      <c r="U13" s="23"/>
      <c r="V13" s="24"/>
      <c r="W13" s="24"/>
      <c r="X13" s="23"/>
      <c r="Y13" s="25"/>
      <c r="Z13" s="23"/>
      <c r="AA13" s="23"/>
      <c r="AB13" s="23"/>
      <c r="AC13" s="24"/>
      <c r="AD13" s="24"/>
      <c r="AE13" s="23"/>
      <c r="AF13" s="23"/>
      <c r="AG13" s="23"/>
      <c r="AH13" s="23"/>
      <c r="AI13" s="23"/>
      <c r="AJ13" s="24"/>
      <c r="AK13" s="24"/>
      <c r="AL13" s="23"/>
      <c r="AM13" s="23"/>
      <c r="AN13" s="23"/>
      <c r="AO13" s="23"/>
      <c r="AP13" s="23"/>
    </row>
    <row r="14" spans="2:42">
      <c r="B14" s="18" t="s">
        <v>12</v>
      </c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</row>
    <row r="15" spans="2:42">
      <c r="B15" s="22" t="s">
        <v>70</v>
      </c>
      <c r="C15" s="23"/>
      <c r="D15" s="23"/>
      <c r="E15" s="23"/>
      <c r="F15" s="23"/>
      <c r="G15" s="23"/>
      <c r="H15" s="24"/>
      <c r="I15" s="24"/>
      <c r="J15" s="25"/>
      <c r="K15" s="25"/>
      <c r="L15" s="25"/>
      <c r="M15" s="25"/>
      <c r="N15" s="23"/>
      <c r="O15" s="24"/>
      <c r="P15" s="24"/>
      <c r="Q15" s="23"/>
      <c r="R15" s="23"/>
      <c r="S15" s="23"/>
      <c r="T15" s="23"/>
      <c r="U15" s="23"/>
      <c r="V15" s="24"/>
      <c r="W15" s="24"/>
      <c r="X15" s="23"/>
      <c r="Y15" s="23"/>
      <c r="Z15" s="23"/>
      <c r="AA15" s="23"/>
      <c r="AB15" s="23"/>
      <c r="AC15" s="24"/>
      <c r="AD15" s="24"/>
      <c r="AE15" s="23"/>
      <c r="AF15" s="23"/>
      <c r="AG15" s="23"/>
      <c r="AH15" s="23"/>
      <c r="AI15" s="23"/>
      <c r="AJ15" s="24"/>
      <c r="AK15" s="24"/>
      <c r="AL15" s="23"/>
      <c r="AM15" s="23"/>
      <c r="AN15" s="23"/>
      <c r="AO15" s="23"/>
      <c r="AP15" s="23"/>
    </row>
    <row r="16" spans="2:42">
      <c r="B16" s="22" t="s">
        <v>71</v>
      </c>
      <c r="C16" s="23"/>
      <c r="D16" s="23"/>
      <c r="E16" s="23"/>
      <c r="F16" s="23"/>
      <c r="G16" s="23"/>
      <c r="H16" s="24"/>
      <c r="I16" s="24"/>
      <c r="J16" s="23"/>
      <c r="K16" s="23"/>
      <c r="L16" s="23"/>
      <c r="M16" s="23"/>
      <c r="N16" s="23"/>
      <c r="O16" s="24"/>
      <c r="P16" s="25"/>
      <c r="Q16" s="25"/>
      <c r="R16" s="25"/>
      <c r="S16" s="25"/>
      <c r="T16" s="25"/>
      <c r="U16" s="25"/>
      <c r="V16" s="24"/>
      <c r="W16" s="24"/>
      <c r="X16" s="23"/>
      <c r="Y16" s="23"/>
      <c r="Z16" s="23"/>
      <c r="AA16" s="23"/>
      <c r="AB16" s="23"/>
      <c r="AC16" s="24"/>
      <c r="AD16" s="24"/>
      <c r="AE16" s="23"/>
      <c r="AF16" s="23"/>
      <c r="AG16" s="23"/>
      <c r="AH16" s="23"/>
      <c r="AI16" s="23"/>
      <c r="AJ16" s="24"/>
      <c r="AK16" s="24"/>
      <c r="AL16" s="23"/>
      <c r="AM16" s="23"/>
      <c r="AN16" s="23"/>
      <c r="AO16" s="23"/>
      <c r="AP16" s="23"/>
    </row>
    <row r="17" spans="2:42">
      <c r="B17" s="22" t="s">
        <v>72</v>
      </c>
      <c r="C17" s="23"/>
      <c r="D17" s="23"/>
      <c r="E17" s="23"/>
      <c r="F17" s="23"/>
      <c r="G17" s="23"/>
      <c r="H17" s="24"/>
      <c r="I17" s="24"/>
      <c r="J17" s="23"/>
      <c r="K17" s="23"/>
      <c r="L17" s="23"/>
      <c r="M17" s="23"/>
      <c r="N17" s="23"/>
      <c r="O17" s="24"/>
      <c r="P17" s="25"/>
      <c r="Q17" s="25"/>
      <c r="R17" s="25"/>
      <c r="S17" s="25"/>
      <c r="T17" s="25"/>
      <c r="U17" s="25"/>
      <c r="V17" s="24"/>
      <c r="W17" s="24"/>
      <c r="X17" s="23"/>
      <c r="Y17" s="23"/>
      <c r="Z17" s="23"/>
      <c r="AA17" s="23"/>
      <c r="AB17" s="23"/>
      <c r="AC17" s="24"/>
      <c r="AD17" s="24"/>
      <c r="AE17" s="23"/>
      <c r="AF17" s="23"/>
      <c r="AG17" s="23"/>
      <c r="AH17" s="23"/>
      <c r="AI17" s="23"/>
      <c r="AJ17" s="24"/>
      <c r="AK17" s="24"/>
      <c r="AL17" s="23"/>
      <c r="AM17" s="23"/>
      <c r="AN17" s="23"/>
      <c r="AO17" s="23"/>
      <c r="AP17" s="23"/>
    </row>
    <row r="18" spans="2:42">
      <c r="B18" s="22" t="s">
        <v>73</v>
      </c>
      <c r="C18" s="23"/>
      <c r="D18" s="23"/>
      <c r="E18" s="23"/>
      <c r="F18" s="23"/>
      <c r="G18" s="23"/>
      <c r="H18" s="24"/>
      <c r="I18" s="24"/>
      <c r="J18" s="23"/>
      <c r="K18" s="23"/>
      <c r="L18" s="23"/>
      <c r="M18" s="23"/>
      <c r="N18" s="23"/>
      <c r="O18" s="24"/>
      <c r="P18" s="24"/>
      <c r="Q18" s="23"/>
      <c r="R18" s="23"/>
      <c r="S18" s="23"/>
      <c r="T18" s="25"/>
      <c r="U18" s="25"/>
      <c r="V18" s="24"/>
      <c r="W18" s="24"/>
      <c r="X18" s="23"/>
      <c r="Y18" s="23"/>
      <c r="Z18" s="23"/>
      <c r="AA18" s="23"/>
      <c r="AB18" s="23"/>
      <c r="AC18" s="24"/>
      <c r="AD18" s="24"/>
      <c r="AE18" s="23"/>
      <c r="AF18" s="23"/>
      <c r="AG18" s="23"/>
      <c r="AH18" s="23"/>
      <c r="AI18" s="23"/>
      <c r="AJ18" s="24"/>
      <c r="AK18" s="24"/>
      <c r="AL18" s="23"/>
      <c r="AM18" s="23"/>
      <c r="AN18" s="23"/>
      <c r="AO18" s="23"/>
      <c r="AP18" s="23"/>
    </row>
    <row r="19" spans="2:42">
      <c r="B19" s="22" t="s">
        <v>74</v>
      </c>
      <c r="C19" s="23"/>
      <c r="D19" s="23"/>
      <c r="E19" s="23"/>
      <c r="F19" s="23"/>
      <c r="G19" s="23"/>
      <c r="H19" s="24"/>
      <c r="I19" s="24"/>
      <c r="J19" s="23"/>
      <c r="K19" s="23"/>
      <c r="L19" s="23"/>
      <c r="M19" s="23"/>
      <c r="N19" s="23"/>
      <c r="O19" s="24"/>
      <c r="P19" s="24"/>
      <c r="Q19" s="23"/>
      <c r="R19" s="23"/>
      <c r="S19" s="23"/>
      <c r="T19" s="23"/>
      <c r="U19" s="23"/>
      <c r="V19" s="24"/>
      <c r="W19" s="24"/>
      <c r="X19" s="23"/>
      <c r="Y19" s="26"/>
      <c r="Z19" s="23"/>
      <c r="AA19" s="23"/>
      <c r="AB19" s="23"/>
      <c r="AC19" s="24"/>
      <c r="AD19" s="24"/>
      <c r="AE19" s="23"/>
      <c r="AF19" s="23"/>
      <c r="AG19" s="23"/>
      <c r="AH19" s="23"/>
      <c r="AI19" s="23"/>
      <c r="AJ19" s="24"/>
      <c r="AK19" s="24"/>
      <c r="AL19" s="23"/>
      <c r="AM19" s="23"/>
      <c r="AN19" s="23"/>
      <c r="AO19" s="23"/>
      <c r="AP19" s="23"/>
    </row>
    <row r="20" spans="2:42">
      <c r="B20" s="22" t="s">
        <v>75</v>
      </c>
      <c r="C20" s="23"/>
      <c r="D20" s="23"/>
      <c r="E20" s="23"/>
      <c r="F20" s="23"/>
      <c r="G20" s="23"/>
      <c r="H20" s="24"/>
      <c r="I20" s="24"/>
      <c r="J20" s="23"/>
      <c r="K20" s="23"/>
      <c r="L20" s="23"/>
      <c r="M20" s="23"/>
      <c r="N20" s="23"/>
      <c r="O20" s="24"/>
      <c r="P20" s="24"/>
      <c r="Q20" s="23"/>
      <c r="R20" s="23"/>
      <c r="S20" s="23"/>
      <c r="T20" s="23"/>
      <c r="U20" s="23"/>
      <c r="V20" s="24"/>
      <c r="W20" s="24"/>
      <c r="X20" s="23"/>
      <c r="Y20" s="26"/>
      <c r="Z20" s="23"/>
      <c r="AA20" s="23"/>
      <c r="AB20" s="23"/>
      <c r="AC20" s="24"/>
      <c r="AD20" s="24"/>
      <c r="AE20" s="23"/>
      <c r="AF20" s="23"/>
      <c r="AG20" s="23"/>
      <c r="AH20" s="23"/>
      <c r="AI20" s="23"/>
      <c r="AJ20" s="24"/>
      <c r="AK20" s="24"/>
      <c r="AL20" s="23"/>
      <c r="AM20" s="23"/>
      <c r="AN20" s="23"/>
      <c r="AO20" s="23"/>
      <c r="AP20" s="23"/>
    </row>
    <row r="21" spans="2:42">
      <c r="B21" s="22" t="s">
        <v>76</v>
      </c>
      <c r="C21" s="23"/>
      <c r="D21" s="23"/>
      <c r="E21" s="23"/>
      <c r="F21" s="23"/>
      <c r="G21" s="23"/>
      <c r="H21" s="24"/>
      <c r="I21" s="24"/>
      <c r="J21" s="23"/>
      <c r="K21" s="23"/>
      <c r="L21" s="23"/>
      <c r="M21" s="23"/>
      <c r="N21" s="23"/>
      <c r="O21" s="24"/>
      <c r="P21" s="24"/>
      <c r="Q21" s="23"/>
      <c r="R21" s="23"/>
      <c r="S21" s="23"/>
      <c r="T21" s="23"/>
      <c r="U21" s="23"/>
      <c r="V21" s="24"/>
      <c r="W21" s="24"/>
      <c r="X21" s="23"/>
      <c r="Y21" s="26"/>
      <c r="Z21" s="23"/>
      <c r="AA21" s="23"/>
      <c r="AB21" s="23"/>
      <c r="AC21" s="24"/>
      <c r="AD21" s="24"/>
      <c r="AE21" s="23"/>
      <c r="AF21" s="23"/>
      <c r="AG21" s="23"/>
      <c r="AH21" s="23"/>
      <c r="AI21" s="23"/>
      <c r="AJ21" s="24"/>
      <c r="AK21" s="24"/>
      <c r="AL21" s="23"/>
      <c r="AM21" s="23"/>
      <c r="AN21" s="23"/>
      <c r="AO21" s="23"/>
      <c r="AP21" s="23"/>
    </row>
    <row r="22" spans="2:42">
      <c r="B22" s="22" t="s">
        <v>77</v>
      </c>
      <c r="C22" s="23"/>
      <c r="D22" s="23"/>
      <c r="E22" s="23"/>
      <c r="F22" s="23"/>
      <c r="G22" s="23"/>
      <c r="H22" s="24"/>
      <c r="I22" s="24"/>
      <c r="J22" s="23"/>
      <c r="K22" s="23"/>
      <c r="L22" s="23"/>
      <c r="M22" s="23"/>
      <c r="N22" s="23"/>
      <c r="O22" s="24"/>
      <c r="P22" s="24"/>
      <c r="Q22" s="23"/>
      <c r="R22" s="23"/>
      <c r="S22" s="23"/>
      <c r="T22" s="23"/>
      <c r="U22" s="23"/>
      <c r="V22" s="24"/>
      <c r="W22" s="24"/>
      <c r="X22" s="23"/>
      <c r="Y22" s="26"/>
      <c r="Z22" s="23"/>
      <c r="AA22" s="23"/>
      <c r="AB22" s="23"/>
      <c r="AC22" s="24"/>
      <c r="AD22" s="24"/>
      <c r="AE22" s="23"/>
      <c r="AF22" s="23"/>
      <c r="AG22" s="23"/>
      <c r="AH22" s="23"/>
      <c r="AI22" s="23"/>
      <c r="AJ22" s="24"/>
      <c r="AK22" s="24"/>
      <c r="AL22" s="23"/>
      <c r="AM22" s="23"/>
      <c r="AN22" s="23"/>
      <c r="AO22" s="23"/>
      <c r="AP22" s="23"/>
    </row>
    <row r="23" spans="2:42">
      <c r="B23" s="18" t="s">
        <v>13</v>
      </c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</row>
    <row r="24" spans="2:42">
      <c r="B24" s="22" t="s">
        <v>70</v>
      </c>
      <c r="C24" s="23"/>
      <c r="D24" s="23"/>
      <c r="E24" s="23"/>
      <c r="F24" s="23"/>
      <c r="G24" s="23"/>
      <c r="H24" s="24"/>
      <c r="I24" s="24"/>
      <c r="J24" s="25"/>
      <c r="K24" s="25"/>
      <c r="L24" s="25"/>
      <c r="M24" s="25"/>
      <c r="N24" s="23"/>
      <c r="O24" s="24"/>
      <c r="P24" s="24"/>
      <c r="Q24" s="23"/>
      <c r="R24" s="23"/>
      <c r="S24" s="23"/>
      <c r="T24" s="23"/>
      <c r="U24" s="23"/>
      <c r="V24" s="24"/>
      <c r="W24" s="24"/>
      <c r="X24" s="23"/>
      <c r="Y24" s="23"/>
      <c r="Z24" s="23"/>
      <c r="AA24" s="23"/>
      <c r="AB24" s="23"/>
      <c r="AC24" s="24"/>
      <c r="AD24" s="24"/>
      <c r="AE24" s="23"/>
      <c r="AF24" s="23"/>
      <c r="AG24" s="23"/>
      <c r="AH24" s="23"/>
      <c r="AI24" s="23"/>
      <c r="AJ24" s="24"/>
      <c r="AK24" s="24"/>
      <c r="AL24" s="23"/>
      <c r="AM24" s="23"/>
      <c r="AN24" s="23"/>
      <c r="AO24" s="23"/>
      <c r="AP24" s="23"/>
    </row>
    <row r="25" spans="2:42">
      <c r="B25" s="22" t="s">
        <v>71</v>
      </c>
      <c r="C25" s="23"/>
      <c r="D25" s="23"/>
      <c r="E25" s="23"/>
      <c r="F25" s="23"/>
      <c r="G25" s="23"/>
      <c r="H25" s="24"/>
      <c r="I25" s="24"/>
      <c r="J25" s="23"/>
      <c r="K25" s="23"/>
      <c r="L25" s="23"/>
      <c r="M25" s="23"/>
      <c r="N25" s="23"/>
      <c r="O25" s="24"/>
      <c r="P25" s="25"/>
      <c r="Q25" s="25"/>
      <c r="R25" s="25"/>
      <c r="S25" s="25"/>
      <c r="T25" s="25"/>
      <c r="U25" s="25"/>
      <c r="V25" s="24"/>
      <c r="W25" s="24"/>
      <c r="X25" s="23"/>
      <c r="Y25" s="23"/>
      <c r="Z25" s="23"/>
      <c r="AA25" s="23"/>
      <c r="AB25" s="23"/>
      <c r="AC25" s="24"/>
      <c r="AD25" s="24"/>
      <c r="AE25" s="23"/>
      <c r="AF25" s="23"/>
      <c r="AG25" s="23"/>
      <c r="AH25" s="23"/>
      <c r="AI25" s="23"/>
      <c r="AJ25" s="24"/>
      <c r="AK25" s="24"/>
      <c r="AL25" s="23"/>
      <c r="AM25" s="23"/>
      <c r="AN25" s="23"/>
      <c r="AO25" s="23"/>
      <c r="AP25" s="23"/>
    </row>
    <row r="26" spans="2:42">
      <c r="B26" s="22" t="s">
        <v>72</v>
      </c>
      <c r="C26" s="23"/>
      <c r="D26" s="23"/>
      <c r="E26" s="23"/>
      <c r="F26" s="23"/>
      <c r="G26" s="23"/>
      <c r="H26" s="24"/>
      <c r="I26" s="24"/>
      <c r="J26" s="23"/>
      <c r="K26" s="23"/>
      <c r="L26" s="23"/>
      <c r="M26" s="23"/>
      <c r="N26" s="23"/>
      <c r="O26" s="24"/>
      <c r="P26" s="25"/>
      <c r="Q26" s="25"/>
      <c r="R26" s="25"/>
      <c r="S26" s="25"/>
      <c r="T26" s="25"/>
      <c r="U26" s="25"/>
      <c r="V26" s="24"/>
      <c r="W26" s="24"/>
      <c r="X26" s="23"/>
      <c r="Y26" s="23"/>
      <c r="Z26" s="23"/>
      <c r="AA26" s="23"/>
      <c r="AB26" s="23"/>
      <c r="AC26" s="24"/>
      <c r="AD26" s="24"/>
      <c r="AE26" s="23"/>
      <c r="AF26" s="23"/>
      <c r="AG26" s="23"/>
      <c r="AH26" s="23"/>
      <c r="AI26" s="23"/>
      <c r="AJ26" s="24"/>
      <c r="AK26" s="24"/>
      <c r="AL26" s="23"/>
      <c r="AM26" s="23"/>
      <c r="AN26" s="23"/>
      <c r="AO26" s="23"/>
      <c r="AP26" s="23"/>
    </row>
    <row r="27" spans="2:42">
      <c r="B27" s="22" t="s">
        <v>73</v>
      </c>
      <c r="C27" s="23"/>
      <c r="D27" s="23"/>
      <c r="E27" s="23"/>
      <c r="F27" s="23"/>
      <c r="G27" s="23"/>
      <c r="H27" s="24"/>
      <c r="I27" s="24"/>
      <c r="J27" s="23"/>
      <c r="K27" s="23"/>
      <c r="L27" s="23"/>
      <c r="M27" s="23"/>
      <c r="N27" s="23"/>
      <c r="O27" s="24"/>
      <c r="P27" s="24"/>
      <c r="Q27" s="23"/>
      <c r="R27" s="23"/>
      <c r="S27" s="23"/>
      <c r="T27" s="25"/>
      <c r="U27" s="25"/>
      <c r="V27" s="24"/>
      <c r="W27" s="24"/>
      <c r="X27" s="23"/>
      <c r="Y27" s="23"/>
      <c r="Z27" s="23"/>
      <c r="AA27" s="23"/>
      <c r="AB27" s="23"/>
      <c r="AC27" s="24"/>
      <c r="AD27" s="24"/>
      <c r="AE27" s="23"/>
      <c r="AF27" s="23"/>
      <c r="AG27" s="23"/>
      <c r="AH27" s="23"/>
      <c r="AI27" s="23"/>
      <c r="AJ27" s="24"/>
      <c r="AK27" s="24"/>
      <c r="AL27" s="23"/>
      <c r="AM27" s="23"/>
      <c r="AN27" s="23"/>
      <c r="AO27" s="23"/>
      <c r="AP27" s="23"/>
    </row>
    <row r="28" spans="2:42">
      <c r="B28" s="22" t="s">
        <v>74</v>
      </c>
      <c r="C28" s="23"/>
      <c r="D28" s="23"/>
      <c r="E28" s="23"/>
      <c r="F28" s="23"/>
      <c r="G28" s="23"/>
      <c r="H28" s="24"/>
      <c r="I28" s="24"/>
      <c r="J28" s="23"/>
      <c r="K28" s="23"/>
      <c r="L28" s="23"/>
      <c r="M28" s="23"/>
      <c r="N28" s="23"/>
      <c r="O28" s="24"/>
      <c r="P28" s="24"/>
      <c r="Q28" s="23"/>
      <c r="R28" s="23"/>
      <c r="S28" s="23"/>
      <c r="T28" s="23"/>
      <c r="U28" s="23"/>
      <c r="V28" s="24"/>
      <c r="W28" s="24"/>
      <c r="X28" s="23"/>
      <c r="Y28" s="26"/>
      <c r="Z28" s="23"/>
      <c r="AA28" s="23"/>
      <c r="AB28" s="23"/>
      <c r="AC28" s="24"/>
      <c r="AD28" s="24"/>
      <c r="AE28" s="23"/>
      <c r="AF28" s="23"/>
      <c r="AG28" s="23"/>
      <c r="AH28" s="23"/>
      <c r="AI28" s="23"/>
      <c r="AJ28" s="24"/>
      <c r="AK28" s="24"/>
      <c r="AL28" s="23"/>
      <c r="AM28" s="23"/>
      <c r="AN28" s="23"/>
      <c r="AO28" s="23"/>
      <c r="AP28" s="23"/>
    </row>
    <row r="29" spans="2:42">
      <c r="B29" s="22" t="s">
        <v>75</v>
      </c>
      <c r="C29" s="23"/>
      <c r="D29" s="23"/>
      <c r="E29" s="23"/>
      <c r="F29" s="23"/>
      <c r="G29" s="23"/>
      <c r="H29" s="24"/>
      <c r="I29" s="24"/>
      <c r="J29" s="23"/>
      <c r="K29" s="23"/>
      <c r="L29" s="23"/>
      <c r="M29" s="23"/>
      <c r="N29" s="23"/>
      <c r="O29" s="24"/>
      <c r="P29" s="24"/>
      <c r="Q29" s="23"/>
      <c r="R29" s="23"/>
      <c r="S29" s="23"/>
      <c r="T29" s="23"/>
      <c r="U29" s="23"/>
      <c r="V29" s="24"/>
      <c r="W29" s="24"/>
      <c r="X29" s="23"/>
      <c r="Y29" s="26"/>
      <c r="Z29" s="23"/>
      <c r="AA29" s="23"/>
      <c r="AB29" s="23"/>
      <c r="AC29" s="24"/>
      <c r="AD29" s="24"/>
      <c r="AE29" s="23"/>
      <c r="AF29" s="23"/>
      <c r="AG29" s="23"/>
      <c r="AH29" s="23"/>
      <c r="AI29" s="23"/>
      <c r="AJ29" s="24"/>
      <c r="AK29" s="24"/>
      <c r="AL29" s="23"/>
      <c r="AM29" s="23"/>
      <c r="AN29" s="23"/>
      <c r="AO29" s="23"/>
      <c r="AP29" s="23"/>
    </row>
    <row r="30" spans="2:42">
      <c r="B30" s="22" t="s">
        <v>76</v>
      </c>
      <c r="C30" s="23"/>
      <c r="D30" s="23"/>
      <c r="E30" s="23"/>
      <c r="F30" s="23"/>
      <c r="G30" s="23"/>
      <c r="H30" s="24"/>
      <c r="I30" s="24"/>
      <c r="J30" s="23"/>
      <c r="K30" s="23"/>
      <c r="L30" s="23"/>
      <c r="M30" s="23"/>
      <c r="N30" s="23"/>
      <c r="O30" s="24"/>
      <c r="P30" s="24"/>
      <c r="Q30" s="23"/>
      <c r="R30" s="23"/>
      <c r="S30" s="23"/>
      <c r="T30" s="23"/>
      <c r="U30" s="23"/>
      <c r="V30" s="24"/>
      <c r="W30" s="24"/>
      <c r="X30" s="23"/>
      <c r="Y30" s="26"/>
      <c r="Z30" s="23"/>
      <c r="AA30" s="23"/>
      <c r="AB30" s="23"/>
      <c r="AC30" s="24"/>
      <c r="AD30" s="24"/>
      <c r="AE30" s="23"/>
      <c r="AF30" s="23"/>
      <c r="AG30" s="23"/>
      <c r="AH30" s="23"/>
      <c r="AI30" s="23"/>
      <c r="AJ30" s="24"/>
      <c r="AK30" s="24"/>
      <c r="AL30" s="23"/>
      <c r="AM30" s="23"/>
      <c r="AN30" s="23"/>
      <c r="AO30" s="23"/>
      <c r="AP30" s="23"/>
    </row>
    <row r="31" spans="2:42">
      <c r="B31" s="22" t="s">
        <v>77</v>
      </c>
      <c r="C31" s="23"/>
      <c r="D31" s="23"/>
      <c r="E31" s="23"/>
      <c r="F31" s="23"/>
      <c r="G31" s="23"/>
      <c r="H31" s="24"/>
      <c r="I31" s="24"/>
      <c r="J31" s="23"/>
      <c r="K31" s="23"/>
      <c r="L31" s="23"/>
      <c r="M31" s="23"/>
      <c r="N31" s="23"/>
      <c r="O31" s="24"/>
      <c r="P31" s="24"/>
      <c r="Q31" s="23"/>
      <c r="R31" s="23"/>
      <c r="S31" s="23"/>
      <c r="T31" s="23"/>
      <c r="U31" s="23"/>
      <c r="V31" s="24"/>
      <c r="W31" s="24"/>
      <c r="X31" s="23"/>
      <c r="Y31" s="26"/>
      <c r="Z31" s="23"/>
      <c r="AA31" s="23"/>
      <c r="AB31" s="23"/>
      <c r="AC31" s="24"/>
      <c r="AD31" s="24"/>
      <c r="AE31" s="23"/>
      <c r="AF31" s="23"/>
      <c r="AG31" s="23"/>
      <c r="AH31" s="23"/>
      <c r="AI31" s="23"/>
      <c r="AJ31" s="24"/>
      <c r="AK31" s="24"/>
      <c r="AL31" s="23"/>
      <c r="AM31" s="23"/>
      <c r="AN31" s="23"/>
      <c r="AO31" s="23"/>
      <c r="AP31" s="23"/>
    </row>
    <row r="32" spans="2:42">
      <c r="B32" s="18" t="s">
        <v>14</v>
      </c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</row>
    <row r="33" spans="2:42">
      <c r="B33" s="22" t="s">
        <v>70</v>
      </c>
      <c r="C33" s="23"/>
      <c r="D33" s="23"/>
      <c r="E33" s="23"/>
      <c r="F33" s="23"/>
      <c r="G33" s="23"/>
      <c r="H33" s="24"/>
      <c r="I33" s="24"/>
      <c r="J33" s="25"/>
      <c r="K33" s="25"/>
      <c r="L33" s="25"/>
      <c r="M33" s="25"/>
      <c r="N33" s="23"/>
      <c r="O33" s="24"/>
      <c r="P33" s="24"/>
      <c r="Q33" s="23"/>
      <c r="R33" s="23"/>
      <c r="S33" s="23"/>
      <c r="T33" s="23"/>
      <c r="U33" s="23"/>
      <c r="V33" s="24"/>
      <c r="W33" s="24"/>
      <c r="X33" s="23"/>
      <c r="Y33" s="23"/>
      <c r="Z33" s="23"/>
      <c r="AA33" s="23"/>
      <c r="AB33" s="23"/>
      <c r="AC33" s="24"/>
      <c r="AD33" s="24"/>
      <c r="AE33" s="23"/>
      <c r="AF33" s="23"/>
      <c r="AG33" s="23"/>
      <c r="AH33" s="23"/>
      <c r="AI33" s="23"/>
      <c r="AJ33" s="24"/>
      <c r="AK33" s="24"/>
      <c r="AL33" s="23"/>
      <c r="AM33" s="23"/>
      <c r="AN33" s="23"/>
      <c r="AO33" s="23"/>
      <c r="AP33" s="23"/>
    </row>
    <row r="34" spans="2:42">
      <c r="B34" s="22" t="s">
        <v>71</v>
      </c>
      <c r="C34" s="23"/>
      <c r="D34" s="23"/>
      <c r="E34" s="23"/>
      <c r="F34" s="23"/>
      <c r="G34" s="23"/>
      <c r="H34" s="24"/>
      <c r="I34" s="24"/>
      <c r="J34" s="23"/>
      <c r="K34" s="23"/>
      <c r="L34" s="23"/>
      <c r="M34" s="25"/>
      <c r="N34" s="25"/>
      <c r="O34" s="24"/>
      <c r="P34" s="24"/>
      <c r="Q34" s="23"/>
      <c r="R34" s="23"/>
      <c r="S34" s="23"/>
      <c r="T34" s="23"/>
      <c r="U34" s="23"/>
      <c r="V34" s="24"/>
      <c r="W34" s="24"/>
      <c r="X34" s="23"/>
      <c r="Y34" s="23"/>
      <c r="Z34" s="23"/>
      <c r="AA34" s="23"/>
      <c r="AB34" s="23"/>
      <c r="AC34" s="24"/>
      <c r="AD34" s="24"/>
      <c r="AE34" s="23"/>
      <c r="AF34" s="23"/>
      <c r="AG34" s="23"/>
      <c r="AH34" s="23"/>
      <c r="AI34" s="23"/>
      <c r="AJ34" s="24"/>
      <c r="AK34" s="24"/>
      <c r="AL34" s="23"/>
      <c r="AM34" s="23"/>
      <c r="AN34" s="23"/>
      <c r="AO34" s="23"/>
      <c r="AP34" s="23"/>
    </row>
    <row r="35" spans="2:42">
      <c r="B35" s="22" t="s">
        <v>72</v>
      </c>
      <c r="C35" s="23"/>
      <c r="D35" s="23"/>
      <c r="E35" s="23"/>
      <c r="F35" s="23"/>
      <c r="G35" s="23"/>
      <c r="H35" s="24"/>
      <c r="I35" s="24"/>
      <c r="J35" s="23"/>
      <c r="K35" s="23"/>
      <c r="L35" s="23"/>
      <c r="M35" s="25"/>
      <c r="N35" s="25"/>
      <c r="O35" s="24"/>
      <c r="P35" s="24"/>
      <c r="Q35" s="23"/>
      <c r="R35" s="23"/>
      <c r="S35" s="23"/>
      <c r="T35" s="23"/>
      <c r="U35" s="23"/>
      <c r="V35" s="24"/>
      <c r="W35" s="24"/>
      <c r="X35" s="23"/>
      <c r="Y35" s="23"/>
      <c r="Z35" s="23"/>
      <c r="AA35" s="23"/>
      <c r="AB35" s="23"/>
      <c r="AC35" s="24"/>
      <c r="AD35" s="24"/>
      <c r="AE35" s="23"/>
      <c r="AF35" s="23"/>
      <c r="AG35" s="23"/>
      <c r="AH35" s="23"/>
      <c r="AI35" s="23"/>
      <c r="AJ35" s="24"/>
      <c r="AK35" s="24"/>
      <c r="AL35" s="23"/>
      <c r="AM35" s="23"/>
      <c r="AN35" s="23"/>
      <c r="AO35" s="23"/>
      <c r="AP35" s="23"/>
    </row>
    <row r="36" spans="2:42">
      <c r="B36" s="22" t="s">
        <v>73</v>
      </c>
      <c r="C36" s="23"/>
      <c r="D36" s="23"/>
      <c r="E36" s="23"/>
      <c r="F36" s="23"/>
      <c r="G36" s="23"/>
      <c r="H36" s="24"/>
      <c r="I36" s="24"/>
      <c r="J36" s="23"/>
      <c r="K36" s="23"/>
      <c r="L36" s="23"/>
      <c r="M36" s="23"/>
      <c r="N36" s="23"/>
      <c r="O36" s="24"/>
      <c r="P36" s="25"/>
      <c r="Q36" s="25"/>
      <c r="R36" s="25"/>
      <c r="S36" s="25"/>
      <c r="T36" s="25"/>
      <c r="U36" s="23"/>
      <c r="V36" s="24"/>
      <c r="W36" s="24"/>
      <c r="X36" s="23"/>
      <c r="Y36" s="23"/>
      <c r="Z36" s="23"/>
      <c r="AA36" s="23"/>
      <c r="AB36" s="23"/>
      <c r="AC36" s="24"/>
      <c r="AD36" s="24"/>
      <c r="AE36" s="23"/>
      <c r="AF36" s="23"/>
      <c r="AG36" s="23"/>
      <c r="AH36" s="23"/>
      <c r="AI36" s="23"/>
      <c r="AJ36" s="24"/>
      <c r="AK36" s="24"/>
      <c r="AL36" s="23"/>
      <c r="AM36" s="23"/>
      <c r="AN36" s="23"/>
      <c r="AO36" s="23"/>
      <c r="AP36" s="23"/>
    </row>
    <row r="37" spans="2:42">
      <c r="B37" s="22" t="s">
        <v>74</v>
      </c>
      <c r="C37" s="23"/>
      <c r="D37" s="23"/>
      <c r="E37" s="23"/>
      <c r="F37" s="23"/>
      <c r="G37" s="23"/>
      <c r="H37" s="24"/>
      <c r="I37" s="24"/>
      <c r="J37" s="23"/>
      <c r="K37" s="23"/>
      <c r="L37" s="23"/>
      <c r="M37" s="23"/>
      <c r="N37" s="23"/>
      <c r="O37" s="24"/>
      <c r="P37" s="24"/>
      <c r="Q37" s="23"/>
      <c r="R37" s="23"/>
      <c r="S37" s="23"/>
      <c r="T37" s="23"/>
      <c r="U37" s="25"/>
      <c r="V37" s="24"/>
      <c r="W37" s="24"/>
      <c r="X37" s="23"/>
      <c r="Y37" s="23"/>
      <c r="Z37" s="23"/>
      <c r="AA37" s="23"/>
      <c r="AB37" s="23"/>
      <c r="AC37" s="24"/>
      <c r="AD37" s="24"/>
      <c r="AE37" s="23"/>
      <c r="AF37" s="23"/>
      <c r="AG37" s="23"/>
      <c r="AH37" s="23"/>
      <c r="AI37" s="23"/>
      <c r="AJ37" s="24"/>
      <c r="AK37" s="24"/>
      <c r="AL37" s="23"/>
      <c r="AM37" s="23"/>
      <c r="AN37" s="23"/>
      <c r="AO37" s="23"/>
      <c r="AP37" s="23"/>
    </row>
    <row r="38" spans="2:42">
      <c r="B38" s="22" t="s">
        <v>75</v>
      </c>
      <c r="C38" s="23"/>
      <c r="D38" s="23"/>
      <c r="E38" s="23"/>
      <c r="F38" s="23"/>
      <c r="G38" s="23"/>
      <c r="H38" s="24"/>
      <c r="I38" s="24"/>
      <c r="J38" s="23"/>
      <c r="K38" s="23"/>
      <c r="L38" s="23"/>
      <c r="M38" s="23"/>
      <c r="N38" s="23"/>
      <c r="O38" s="24"/>
      <c r="P38" s="24"/>
      <c r="Q38" s="23"/>
      <c r="R38" s="23"/>
      <c r="S38" s="23"/>
      <c r="T38" s="23"/>
      <c r="U38" s="25"/>
      <c r="V38" s="24"/>
      <c r="W38" s="24"/>
      <c r="X38" s="23"/>
      <c r="Y38" s="23"/>
      <c r="Z38" s="23"/>
      <c r="AA38" s="23"/>
      <c r="AB38" s="23"/>
      <c r="AC38" s="24"/>
      <c r="AD38" s="24"/>
      <c r="AE38" s="23"/>
      <c r="AF38" s="23"/>
      <c r="AG38" s="23"/>
      <c r="AH38" s="23"/>
      <c r="AI38" s="23"/>
      <c r="AJ38" s="24"/>
      <c r="AK38" s="24"/>
      <c r="AL38" s="23"/>
      <c r="AM38" s="23"/>
      <c r="AN38" s="23"/>
      <c r="AO38" s="23"/>
      <c r="AP38" s="23"/>
    </row>
    <row r="39" spans="2:42">
      <c r="B39" s="22" t="s">
        <v>76</v>
      </c>
      <c r="C39" s="23"/>
      <c r="D39" s="23"/>
      <c r="E39" s="23"/>
      <c r="F39" s="23"/>
      <c r="G39" s="23"/>
      <c r="H39" s="24"/>
      <c r="I39" s="24"/>
      <c r="J39" s="23"/>
      <c r="K39" s="23"/>
      <c r="L39" s="23"/>
      <c r="M39" s="23"/>
      <c r="N39" s="23"/>
      <c r="O39" s="24"/>
      <c r="P39" s="24"/>
      <c r="Q39" s="23"/>
      <c r="R39" s="23"/>
      <c r="S39" s="23"/>
      <c r="T39" s="23"/>
      <c r="U39" s="23"/>
      <c r="V39" s="24"/>
      <c r="W39" s="24"/>
      <c r="X39" s="25"/>
      <c r="Y39" s="25"/>
      <c r="Z39" s="23"/>
      <c r="AA39" s="23"/>
      <c r="AB39" s="23"/>
      <c r="AC39" s="24"/>
      <c r="AD39" s="24"/>
      <c r="AE39" s="23"/>
      <c r="AF39" s="23"/>
      <c r="AG39" s="23"/>
      <c r="AH39" s="23"/>
      <c r="AI39" s="23"/>
      <c r="AJ39" s="24"/>
      <c r="AK39" s="24"/>
      <c r="AL39" s="23"/>
      <c r="AM39" s="23"/>
      <c r="AN39" s="23"/>
      <c r="AO39" s="23"/>
      <c r="AP39" s="23"/>
    </row>
    <row r="40" spans="2:42">
      <c r="B40" s="22" t="s">
        <v>77</v>
      </c>
      <c r="C40" s="23"/>
      <c r="D40" s="23"/>
      <c r="E40" s="23"/>
      <c r="F40" s="23"/>
      <c r="G40" s="23"/>
      <c r="H40" s="24"/>
      <c r="I40" s="24"/>
      <c r="J40" s="23"/>
      <c r="K40" s="23"/>
      <c r="L40" s="23"/>
      <c r="M40" s="23"/>
      <c r="N40" s="23"/>
      <c r="O40" s="24"/>
      <c r="P40" s="24"/>
      <c r="Q40" s="23"/>
      <c r="R40" s="23"/>
      <c r="S40" s="23"/>
      <c r="T40" s="23"/>
      <c r="U40" s="23"/>
      <c r="V40" s="24"/>
      <c r="W40" s="24"/>
      <c r="X40" s="23"/>
      <c r="Y40" s="25"/>
      <c r="Z40" s="23"/>
      <c r="AA40" s="23"/>
      <c r="AB40" s="23"/>
      <c r="AC40" s="24"/>
      <c r="AD40" s="24"/>
      <c r="AE40" s="23"/>
      <c r="AF40" s="23"/>
      <c r="AG40" s="23"/>
      <c r="AH40" s="23"/>
      <c r="AI40" s="23"/>
      <c r="AJ40" s="24"/>
      <c r="AK40" s="24"/>
      <c r="AL40" s="23"/>
      <c r="AM40" s="23"/>
      <c r="AN40" s="23"/>
      <c r="AO40" s="23"/>
      <c r="AP40" s="23"/>
    </row>
    <row r="41" spans="2:42">
      <c r="B41" s="18" t="s">
        <v>15</v>
      </c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</row>
    <row r="42" spans="2:42">
      <c r="B42" s="22" t="s">
        <v>70</v>
      </c>
      <c r="C42" s="23"/>
      <c r="D42" s="23"/>
      <c r="E42" s="23"/>
      <c r="F42" s="23"/>
      <c r="G42" s="23"/>
      <c r="H42" s="24"/>
      <c r="I42" s="24"/>
      <c r="J42" s="25"/>
      <c r="K42" s="25"/>
      <c r="L42" s="25"/>
      <c r="M42" s="25"/>
      <c r="N42" s="23"/>
      <c r="O42" s="24"/>
      <c r="P42" s="24"/>
      <c r="Q42" s="23"/>
      <c r="R42" s="23"/>
      <c r="S42" s="23"/>
      <c r="T42" s="23"/>
      <c r="U42" s="23"/>
      <c r="V42" s="24"/>
      <c r="W42" s="24"/>
      <c r="X42" s="23"/>
      <c r="Y42" s="23"/>
      <c r="Z42" s="23"/>
      <c r="AA42" s="23"/>
      <c r="AB42" s="23"/>
      <c r="AC42" s="24"/>
      <c r="AD42" s="24"/>
      <c r="AE42" s="23"/>
      <c r="AF42" s="23"/>
      <c r="AG42" s="23"/>
      <c r="AH42" s="23"/>
      <c r="AI42" s="23"/>
      <c r="AJ42" s="24"/>
      <c r="AK42" s="24"/>
      <c r="AL42" s="23"/>
      <c r="AM42" s="23"/>
      <c r="AN42" s="23"/>
      <c r="AO42" s="23"/>
      <c r="AP42" s="23"/>
    </row>
    <row r="43" spans="2:42">
      <c r="B43" s="22" t="s">
        <v>71</v>
      </c>
      <c r="C43" s="23"/>
      <c r="D43" s="23"/>
      <c r="E43" s="23"/>
      <c r="F43" s="23"/>
      <c r="G43" s="23"/>
      <c r="H43" s="24"/>
      <c r="I43" s="24"/>
      <c r="J43" s="23"/>
      <c r="K43" s="23"/>
      <c r="L43" s="23"/>
      <c r="M43" s="25"/>
      <c r="N43" s="25"/>
      <c r="O43" s="24"/>
      <c r="P43" s="24"/>
      <c r="Q43" s="23"/>
      <c r="R43" s="23"/>
      <c r="S43" s="23"/>
      <c r="T43" s="23"/>
      <c r="U43" s="23"/>
      <c r="V43" s="24"/>
      <c r="W43" s="24"/>
      <c r="X43" s="23"/>
      <c r="Y43" s="23"/>
      <c r="Z43" s="23"/>
      <c r="AA43" s="23"/>
      <c r="AB43" s="23"/>
      <c r="AC43" s="24"/>
      <c r="AD43" s="24"/>
      <c r="AE43" s="23"/>
      <c r="AF43" s="23"/>
      <c r="AG43" s="23"/>
      <c r="AH43" s="23"/>
      <c r="AI43" s="23"/>
      <c r="AJ43" s="24"/>
      <c r="AK43" s="24"/>
      <c r="AL43" s="23"/>
      <c r="AM43" s="23"/>
      <c r="AN43" s="23"/>
      <c r="AO43" s="23"/>
      <c r="AP43" s="23"/>
    </row>
    <row r="44" spans="2:42">
      <c r="B44" s="22" t="s">
        <v>72</v>
      </c>
      <c r="C44" s="23"/>
      <c r="D44" s="23"/>
      <c r="E44" s="23"/>
      <c r="F44" s="23"/>
      <c r="G44" s="23"/>
      <c r="H44" s="24"/>
      <c r="I44" s="24"/>
      <c r="J44" s="23"/>
      <c r="K44" s="23"/>
      <c r="L44" s="23"/>
      <c r="M44" s="25"/>
      <c r="N44" s="25"/>
      <c r="O44" s="24"/>
      <c r="P44" s="24"/>
      <c r="Q44" s="23"/>
      <c r="R44" s="23"/>
      <c r="S44" s="23"/>
      <c r="T44" s="23"/>
      <c r="U44" s="23"/>
      <c r="V44" s="24"/>
      <c r="W44" s="24"/>
      <c r="X44" s="23"/>
      <c r="Y44" s="23"/>
      <c r="Z44" s="23"/>
      <c r="AA44" s="23"/>
      <c r="AB44" s="23"/>
      <c r="AC44" s="24"/>
      <c r="AD44" s="24"/>
      <c r="AE44" s="23"/>
      <c r="AF44" s="23"/>
      <c r="AG44" s="23"/>
      <c r="AH44" s="23"/>
      <c r="AI44" s="23"/>
      <c r="AJ44" s="24"/>
      <c r="AK44" s="24"/>
      <c r="AL44" s="23"/>
      <c r="AM44" s="23"/>
      <c r="AN44" s="23"/>
      <c r="AO44" s="23"/>
      <c r="AP44" s="23"/>
    </row>
    <row r="45" spans="2:42">
      <c r="B45" s="22" t="s">
        <v>73</v>
      </c>
      <c r="C45" s="23"/>
      <c r="D45" s="23"/>
      <c r="E45" s="23"/>
      <c r="F45" s="23"/>
      <c r="G45" s="23"/>
      <c r="H45" s="24"/>
      <c r="I45" s="24"/>
      <c r="J45" s="23"/>
      <c r="K45" s="23"/>
      <c r="L45" s="23"/>
      <c r="M45" s="23"/>
      <c r="N45" s="23"/>
      <c r="O45" s="24"/>
      <c r="P45" s="25"/>
      <c r="Q45" s="25"/>
      <c r="R45" s="25"/>
      <c r="S45" s="25"/>
      <c r="T45" s="25"/>
      <c r="U45" s="23"/>
      <c r="V45" s="24"/>
      <c r="W45" s="24"/>
      <c r="X45" s="23"/>
      <c r="Y45" s="23"/>
      <c r="Z45" s="23"/>
      <c r="AA45" s="23"/>
      <c r="AB45" s="23"/>
      <c r="AC45" s="24"/>
      <c r="AD45" s="24"/>
      <c r="AE45" s="23"/>
      <c r="AF45" s="23"/>
      <c r="AG45" s="23"/>
      <c r="AH45" s="23"/>
      <c r="AI45" s="23"/>
      <c r="AJ45" s="24"/>
      <c r="AK45" s="24"/>
      <c r="AL45" s="23"/>
      <c r="AM45" s="23"/>
      <c r="AN45" s="23"/>
      <c r="AO45" s="23"/>
      <c r="AP45" s="23"/>
    </row>
    <row r="46" spans="2:42">
      <c r="B46" s="22" t="s">
        <v>74</v>
      </c>
      <c r="C46" s="23"/>
      <c r="D46" s="23"/>
      <c r="E46" s="23"/>
      <c r="F46" s="23"/>
      <c r="G46" s="23"/>
      <c r="H46" s="24"/>
      <c r="I46" s="24"/>
      <c r="J46" s="23"/>
      <c r="K46" s="23"/>
      <c r="L46" s="23"/>
      <c r="M46" s="23"/>
      <c r="N46" s="23"/>
      <c r="O46" s="24"/>
      <c r="P46" s="24"/>
      <c r="Q46" s="23"/>
      <c r="R46" s="23"/>
      <c r="S46" s="23"/>
      <c r="T46" s="23"/>
      <c r="U46" s="25"/>
      <c r="V46" s="24"/>
      <c r="W46" s="24"/>
      <c r="X46" s="23"/>
      <c r="Y46" s="23"/>
      <c r="Z46" s="23"/>
      <c r="AA46" s="23"/>
      <c r="AB46" s="23"/>
      <c r="AC46" s="24"/>
      <c r="AD46" s="24"/>
      <c r="AE46" s="23"/>
      <c r="AF46" s="23"/>
      <c r="AG46" s="23"/>
      <c r="AH46" s="23"/>
      <c r="AI46" s="23"/>
      <c r="AJ46" s="24"/>
      <c r="AK46" s="24"/>
      <c r="AL46" s="23"/>
      <c r="AM46" s="23"/>
      <c r="AN46" s="23"/>
      <c r="AO46" s="23"/>
      <c r="AP46" s="23"/>
    </row>
    <row r="47" spans="2:42">
      <c r="B47" s="22" t="s">
        <v>75</v>
      </c>
      <c r="C47" s="23"/>
      <c r="D47" s="23"/>
      <c r="E47" s="23"/>
      <c r="F47" s="23"/>
      <c r="G47" s="23"/>
      <c r="H47" s="24"/>
      <c r="I47" s="24"/>
      <c r="J47" s="23"/>
      <c r="K47" s="23"/>
      <c r="L47" s="23"/>
      <c r="M47" s="23"/>
      <c r="N47" s="23"/>
      <c r="O47" s="24"/>
      <c r="P47" s="24"/>
      <c r="Q47" s="23"/>
      <c r="R47" s="23"/>
      <c r="S47" s="23"/>
      <c r="T47" s="23"/>
      <c r="U47" s="25"/>
      <c r="V47" s="24"/>
      <c r="W47" s="24"/>
      <c r="X47" s="23"/>
      <c r="Y47" s="23"/>
      <c r="Z47" s="23"/>
      <c r="AA47" s="23"/>
      <c r="AB47" s="23"/>
      <c r="AC47" s="24"/>
      <c r="AD47" s="24"/>
      <c r="AE47" s="23"/>
      <c r="AF47" s="23"/>
      <c r="AG47" s="23"/>
      <c r="AH47" s="23"/>
      <c r="AI47" s="23"/>
      <c r="AJ47" s="24"/>
      <c r="AK47" s="24"/>
      <c r="AL47" s="23"/>
      <c r="AM47" s="23"/>
      <c r="AN47" s="23"/>
      <c r="AO47" s="23"/>
      <c r="AP47" s="23"/>
    </row>
    <row r="48" spans="2:42">
      <c r="B48" s="22" t="s">
        <v>76</v>
      </c>
      <c r="C48" s="23"/>
      <c r="D48" s="23"/>
      <c r="E48" s="23"/>
      <c r="F48" s="23"/>
      <c r="G48" s="23"/>
      <c r="H48" s="24"/>
      <c r="I48" s="24"/>
      <c r="J48" s="23"/>
      <c r="K48" s="23"/>
      <c r="L48" s="23"/>
      <c r="M48" s="23"/>
      <c r="N48" s="23"/>
      <c r="O48" s="24"/>
      <c r="P48" s="24"/>
      <c r="Q48" s="23"/>
      <c r="R48" s="23"/>
      <c r="S48" s="23"/>
      <c r="T48" s="23"/>
      <c r="U48" s="23"/>
      <c r="V48" s="24"/>
      <c r="W48" s="24"/>
      <c r="X48" s="25"/>
      <c r="Y48" s="25"/>
      <c r="Z48" s="23"/>
      <c r="AA48" s="23"/>
      <c r="AB48" s="23"/>
      <c r="AC48" s="24"/>
      <c r="AD48" s="24"/>
      <c r="AE48" s="23"/>
      <c r="AF48" s="23"/>
      <c r="AG48" s="23"/>
      <c r="AH48" s="23"/>
      <c r="AI48" s="23"/>
      <c r="AJ48" s="24"/>
      <c r="AK48" s="24"/>
      <c r="AL48" s="23"/>
      <c r="AM48" s="23"/>
      <c r="AN48" s="23"/>
      <c r="AO48" s="23"/>
      <c r="AP48" s="23"/>
    </row>
    <row r="49" spans="2:42">
      <c r="B49" s="22" t="s">
        <v>77</v>
      </c>
      <c r="C49" s="23"/>
      <c r="D49" s="23"/>
      <c r="E49" s="23"/>
      <c r="F49" s="23"/>
      <c r="G49" s="23"/>
      <c r="H49" s="24"/>
      <c r="I49" s="24"/>
      <c r="J49" s="23"/>
      <c r="K49" s="23"/>
      <c r="L49" s="23"/>
      <c r="M49" s="23"/>
      <c r="N49" s="23"/>
      <c r="O49" s="24"/>
      <c r="P49" s="24"/>
      <c r="Q49" s="23"/>
      <c r="R49" s="23"/>
      <c r="S49" s="23"/>
      <c r="T49" s="23"/>
      <c r="U49" s="23"/>
      <c r="V49" s="24"/>
      <c r="W49" s="24"/>
      <c r="X49" s="23"/>
      <c r="Y49" s="25"/>
      <c r="Z49" s="23"/>
      <c r="AA49" s="23"/>
      <c r="AB49" s="23"/>
      <c r="AC49" s="24"/>
      <c r="AD49" s="24"/>
      <c r="AE49" s="23"/>
      <c r="AF49" s="23"/>
      <c r="AG49" s="23"/>
      <c r="AH49" s="23"/>
      <c r="AI49" s="23"/>
      <c r="AJ49" s="24"/>
      <c r="AK49" s="24"/>
      <c r="AL49" s="23"/>
      <c r="AM49" s="23"/>
      <c r="AN49" s="23"/>
      <c r="AO49" s="23"/>
      <c r="AP49" s="23"/>
    </row>
    <row r="50" spans="2:42">
      <c r="B50" s="18" t="s">
        <v>11</v>
      </c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</row>
    <row r="51" spans="2:42">
      <c r="B51" s="22" t="s">
        <v>70</v>
      </c>
      <c r="C51" s="23"/>
      <c r="D51" s="23"/>
      <c r="E51" s="23"/>
      <c r="F51" s="23"/>
      <c r="G51" s="23"/>
      <c r="H51" s="24"/>
      <c r="I51" s="24"/>
      <c r="J51" s="25"/>
      <c r="K51" s="25"/>
      <c r="L51" s="25"/>
      <c r="M51" s="25"/>
      <c r="N51" s="23"/>
      <c r="O51" s="24"/>
      <c r="P51" s="24"/>
      <c r="Q51" s="23"/>
      <c r="R51" s="23"/>
      <c r="S51" s="23"/>
      <c r="T51" s="23"/>
      <c r="U51" s="23"/>
      <c r="V51" s="24"/>
      <c r="W51" s="24"/>
      <c r="X51" s="23"/>
      <c r="Y51" s="23"/>
      <c r="Z51" s="23"/>
      <c r="AA51" s="23"/>
      <c r="AB51" s="23"/>
      <c r="AC51" s="24"/>
      <c r="AD51" s="24"/>
      <c r="AE51" s="23"/>
      <c r="AF51" s="23"/>
      <c r="AG51" s="23"/>
      <c r="AH51" s="23"/>
      <c r="AI51" s="23"/>
      <c r="AJ51" s="24"/>
      <c r="AK51" s="24"/>
      <c r="AL51" s="23"/>
      <c r="AM51" s="23"/>
      <c r="AN51" s="23"/>
      <c r="AO51" s="23"/>
      <c r="AP51" s="23"/>
    </row>
    <row r="52" spans="2:42">
      <c r="B52" s="22" t="s">
        <v>71</v>
      </c>
      <c r="C52" s="23"/>
      <c r="D52" s="23"/>
      <c r="E52" s="23"/>
      <c r="F52" s="23"/>
      <c r="G52" s="23"/>
      <c r="H52" s="24"/>
      <c r="I52" s="24"/>
      <c r="J52" s="23"/>
      <c r="K52" s="23"/>
      <c r="L52" s="23"/>
      <c r="M52" s="25"/>
      <c r="N52" s="25"/>
      <c r="O52" s="24"/>
      <c r="P52" s="24"/>
      <c r="Q52" s="23"/>
      <c r="R52" s="23"/>
      <c r="S52" s="23"/>
      <c r="T52" s="23"/>
      <c r="U52" s="23"/>
      <c r="V52" s="24"/>
      <c r="W52" s="24"/>
      <c r="X52" s="23"/>
      <c r="Y52" s="23"/>
      <c r="Z52" s="23"/>
      <c r="AA52" s="23"/>
      <c r="AB52" s="23"/>
      <c r="AC52" s="24"/>
      <c r="AD52" s="24"/>
      <c r="AE52" s="23"/>
      <c r="AF52" s="23"/>
      <c r="AG52" s="23"/>
      <c r="AH52" s="23"/>
      <c r="AI52" s="23"/>
      <c r="AJ52" s="24"/>
      <c r="AK52" s="24"/>
      <c r="AL52" s="23"/>
      <c r="AM52" s="23"/>
      <c r="AN52" s="23"/>
      <c r="AO52" s="23"/>
      <c r="AP52" s="23"/>
    </row>
    <row r="53" spans="2:42">
      <c r="B53" s="22" t="s">
        <v>72</v>
      </c>
      <c r="C53" s="23"/>
      <c r="D53" s="23"/>
      <c r="E53" s="23"/>
      <c r="F53" s="23"/>
      <c r="G53" s="23"/>
      <c r="H53" s="24"/>
      <c r="I53" s="24"/>
      <c r="J53" s="23"/>
      <c r="K53" s="23"/>
      <c r="L53" s="23"/>
      <c r="M53" s="25"/>
      <c r="N53" s="25"/>
      <c r="O53" s="24"/>
      <c r="P53" s="24"/>
      <c r="Q53" s="23"/>
      <c r="R53" s="23"/>
      <c r="S53" s="23"/>
      <c r="T53" s="23"/>
      <c r="U53" s="23"/>
      <c r="V53" s="24"/>
      <c r="W53" s="24"/>
      <c r="X53" s="23"/>
      <c r="Y53" s="23"/>
      <c r="Z53" s="23"/>
      <c r="AA53" s="23"/>
      <c r="AB53" s="23"/>
      <c r="AC53" s="24"/>
      <c r="AD53" s="24"/>
      <c r="AE53" s="23"/>
      <c r="AF53" s="23"/>
      <c r="AG53" s="23"/>
      <c r="AH53" s="23"/>
      <c r="AI53" s="23"/>
      <c r="AJ53" s="24"/>
      <c r="AK53" s="24"/>
      <c r="AL53" s="23"/>
      <c r="AM53" s="23"/>
      <c r="AN53" s="23"/>
      <c r="AO53" s="23"/>
      <c r="AP53" s="23"/>
    </row>
    <row r="54" spans="2:42">
      <c r="B54" s="22" t="s">
        <v>73</v>
      </c>
      <c r="C54" s="23"/>
      <c r="D54" s="23"/>
      <c r="E54" s="23"/>
      <c r="F54" s="23"/>
      <c r="G54" s="23"/>
      <c r="H54" s="24"/>
      <c r="I54" s="24"/>
      <c r="J54" s="23"/>
      <c r="K54" s="23"/>
      <c r="L54" s="23"/>
      <c r="M54" s="23"/>
      <c r="N54" s="23"/>
      <c r="O54" s="24"/>
      <c r="P54" s="25"/>
      <c r="Q54" s="25"/>
      <c r="R54" s="25"/>
      <c r="S54" s="25"/>
      <c r="T54" s="25"/>
      <c r="U54" s="23"/>
      <c r="V54" s="24"/>
      <c r="W54" s="24"/>
      <c r="X54" s="23"/>
      <c r="Y54" s="23"/>
      <c r="Z54" s="23"/>
      <c r="AA54" s="23"/>
      <c r="AB54" s="23"/>
      <c r="AC54" s="24"/>
      <c r="AD54" s="24"/>
      <c r="AE54" s="23"/>
      <c r="AF54" s="23"/>
      <c r="AG54" s="23"/>
      <c r="AH54" s="23"/>
      <c r="AI54" s="23"/>
      <c r="AJ54" s="24"/>
      <c r="AK54" s="24"/>
      <c r="AL54" s="23"/>
      <c r="AM54" s="23"/>
      <c r="AN54" s="23"/>
      <c r="AO54" s="23"/>
      <c r="AP54" s="23"/>
    </row>
    <row r="55" spans="2:42">
      <c r="B55" s="22" t="s">
        <v>74</v>
      </c>
      <c r="C55" s="23"/>
      <c r="D55" s="23"/>
      <c r="E55" s="23"/>
      <c r="F55" s="23"/>
      <c r="G55" s="23"/>
      <c r="H55" s="24"/>
      <c r="I55" s="24"/>
      <c r="J55" s="23"/>
      <c r="K55" s="23"/>
      <c r="L55" s="23"/>
      <c r="M55" s="23"/>
      <c r="N55" s="23"/>
      <c r="O55" s="24"/>
      <c r="P55" s="24"/>
      <c r="Q55" s="23"/>
      <c r="R55" s="23"/>
      <c r="S55" s="23"/>
      <c r="T55" s="23"/>
      <c r="U55" s="25"/>
      <c r="V55" s="24"/>
      <c r="W55" s="24"/>
      <c r="X55" s="23"/>
      <c r="Y55" s="23"/>
      <c r="Z55" s="23"/>
      <c r="AA55" s="23"/>
      <c r="AB55" s="23"/>
      <c r="AC55" s="24"/>
      <c r="AD55" s="24"/>
      <c r="AE55" s="23"/>
      <c r="AF55" s="23"/>
      <c r="AG55" s="23"/>
      <c r="AH55" s="23"/>
      <c r="AI55" s="23"/>
      <c r="AJ55" s="24"/>
      <c r="AK55" s="24"/>
      <c r="AL55" s="23"/>
      <c r="AM55" s="23"/>
      <c r="AN55" s="23"/>
      <c r="AO55" s="23"/>
      <c r="AP55" s="23"/>
    </row>
    <row r="56" spans="2:42">
      <c r="B56" s="22" t="s">
        <v>75</v>
      </c>
      <c r="C56" s="23"/>
      <c r="D56" s="23"/>
      <c r="E56" s="23"/>
      <c r="F56" s="23"/>
      <c r="G56" s="23"/>
      <c r="H56" s="24"/>
      <c r="I56" s="24"/>
      <c r="J56" s="23"/>
      <c r="K56" s="23"/>
      <c r="L56" s="23"/>
      <c r="M56" s="23"/>
      <c r="N56" s="23"/>
      <c r="O56" s="24"/>
      <c r="P56" s="24"/>
      <c r="Q56" s="23"/>
      <c r="R56" s="23"/>
      <c r="S56" s="23"/>
      <c r="T56" s="23"/>
      <c r="U56" s="25"/>
      <c r="V56" s="24"/>
      <c r="W56" s="24"/>
      <c r="X56" s="23"/>
      <c r="Y56" s="23"/>
      <c r="Z56" s="23"/>
      <c r="AA56" s="23"/>
      <c r="AB56" s="23"/>
      <c r="AC56" s="24"/>
      <c r="AD56" s="24"/>
      <c r="AE56" s="23"/>
      <c r="AF56" s="23"/>
      <c r="AG56" s="23"/>
      <c r="AH56" s="23"/>
      <c r="AI56" s="23"/>
      <c r="AJ56" s="24"/>
      <c r="AK56" s="24"/>
      <c r="AL56" s="23"/>
      <c r="AM56" s="23"/>
      <c r="AN56" s="23"/>
      <c r="AO56" s="23"/>
      <c r="AP56" s="23"/>
    </row>
    <row r="57" spans="2:42">
      <c r="B57" s="22" t="s">
        <v>76</v>
      </c>
      <c r="C57" s="23"/>
      <c r="D57" s="23"/>
      <c r="E57" s="23"/>
      <c r="F57" s="23"/>
      <c r="G57" s="23"/>
      <c r="H57" s="24"/>
      <c r="I57" s="24"/>
      <c r="J57" s="23"/>
      <c r="K57" s="23"/>
      <c r="L57" s="23"/>
      <c r="M57" s="23"/>
      <c r="N57" s="23"/>
      <c r="O57" s="24"/>
      <c r="P57" s="24"/>
      <c r="Q57" s="23"/>
      <c r="R57" s="23"/>
      <c r="S57" s="23"/>
      <c r="T57" s="23"/>
      <c r="U57" s="23"/>
      <c r="V57" s="24"/>
      <c r="W57" s="24"/>
      <c r="X57" s="25"/>
      <c r="Y57" s="25"/>
      <c r="Z57" s="23"/>
      <c r="AA57" s="23"/>
      <c r="AB57" s="23"/>
      <c r="AC57" s="24"/>
      <c r="AD57" s="24"/>
      <c r="AE57" s="23"/>
      <c r="AF57" s="23"/>
      <c r="AG57" s="23"/>
      <c r="AH57" s="23"/>
      <c r="AI57" s="23"/>
      <c r="AJ57" s="24"/>
      <c r="AK57" s="24"/>
      <c r="AL57" s="23"/>
      <c r="AM57" s="23"/>
      <c r="AN57" s="23"/>
      <c r="AO57" s="23"/>
      <c r="AP57" s="23"/>
    </row>
    <row r="58" spans="2:42">
      <c r="B58" s="22" t="s">
        <v>77</v>
      </c>
      <c r="C58" s="23"/>
      <c r="D58" s="23"/>
      <c r="E58" s="23"/>
      <c r="F58" s="23"/>
      <c r="G58" s="23"/>
      <c r="H58" s="24"/>
      <c r="I58" s="24"/>
      <c r="J58" s="23"/>
      <c r="K58" s="23"/>
      <c r="L58" s="23"/>
      <c r="M58" s="23"/>
      <c r="N58" s="23"/>
      <c r="O58" s="24"/>
      <c r="P58" s="24"/>
      <c r="Q58" s="23"/>
      <c r="R58" s="23"/>
      <c r="S58" s="23"/>
      <c r="T58" s="23"/>
      <c r="U58" s="23"/>
      <c r="V58" s="24"/>
      <c r="W58" s="24"/>
      <c r="X58" s="23"/>
      <c r="Y58" s="25"/>
      <c r="Z58" s="23"/>
      <c r="AA58" s="23"/>
      <c r="AB58" s="23"/>
      <c r="AC58" s="24"/>
      <c r="AD58" s="24"/>
      <c r="AE58" s="23"/>
      <c r="AF58" s="23"/>
      <c r="AG58" s="23"/>
      <c r="AH58" s="23"/>
      <c r="AI58" s="23"/>
      <c r="AJ58" s="24"/>
      <c r="AK58" s="24"/>
      <c r="AL58" s="23"/>
      <c r="AM58" s="23"/>
      <c r="AN58" s="23"/>
      <c r="AO58" s="23"/>
      <c r="AP58" s="23"/>
    </row>
    <row r="60" spans="2:42">
      <c r="B60" s="3" t="s">
        <v>78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E5496"/>
  </sheetPr>
  <dimension ref="B2:L56"/>
  <sheetViews>
    <sheetView showGridLines="0" zoomScaleNormal="100" workbookViewId="0">
      <pane xSplit="6" ySplit="9" topLeftCell="G10" activePane="bottomRight" state="frozen"/>
      <selection pane="bottomRight" activeCell="J4" sqref="J4:L4"/>
      <selection pane="bottomLeft" activeCell="A10" sqref="A10"/>
      <selection pane="topRight" activeCell="G1" sqref="G1"/>
    </sheetView>
  </sheetViews>
  <sheetFormatPr defaultColWidth="8.7109375" defaultRowHeight="14.45"/>
  <cols>
    <col min="1" max="1" width="2" customWidth="1"/>
    <col min="2" max="2" width="6" customWidth="1"/>
    <col min="3" max="3" width="50" customWidth="1"/>
    <col min="4" max="4" width="7" customWidth="1"/>
    <col min="5" max="5" width="13" customWidth="1"/>
    <col min="6" max="6" width="9" customWidth="1"/>
    <col min="7" max="10" width="12" customWidth="1"/>
    <col min="11" max="11" width="17.42578125" style="43" bestFit="1" customWidth="1"/>
    <col min="12" max="12" width="30" customWidth="1"/>
  </cols>
  <sheetData>
    <row r="2" spans="2:12" ht="17.45">
      <c r="B2" s="47" t="s">
        <v>79</v>
      </c>
      <c r="C2" s="47"/>
      <c r="D2" s="47"/>
      <c r="E2" s="47"/>
      <c r="F2" s="47"/>
      <c r="G2" s="47"/>
      <c r="H2" s="47"/>
      <c r="I2" s="47"/>
      <c r="J2" s="47"/>
      <c r="K2" s="47"/>
      <c r="L2" s="47"/>
    </row>
    <row r="4" spans="2:12">
      <c r="B4" s="27" t="s">
        <v>80</v>
      </c>
      <c r="C4" s="48"/>
      <c r="D4" s="48"/>
      <c r="E4" s="48"/>
      <c r="F4" s="27" t="s">
        <v>81</v>
      </c>
      <c r="G4" s="48" t="s">
        <v>10</v>
      </c>
      <c r="H4" s="48"/>
      <c r="I4" s="27" t="s">
        <v>82</v>
      </c>
      <c r="J4" s="48"/>
      <c r="K4" s="48"/>
      <c r="L4" s="48"/>
    </row>
    <row r="5" spans="2:12">
      <c r="B5" s="27" t="s">
        <v>83</v>
      </c>
      <c r="C5" s="48"/>
      <c r="D5" s="48"/>
      <c r="E5" s="48"/>
      <c r="F5" s="27" t="s">
        <v>84</v>
      </c>
      <c r="G5" s="48"/>
      <c r="H5" s="48"/>
      <c r="I5" s="27" t="s">
        <v>85</v>
      </c>
      <c r="J5" s="54">
        <v>46230</v>
      </c>
      <c r="K5" s="48"/>
      <c r="L5" s="48"/>
    </row>
    <row r="7" spans="2:12" ht="21">
      <c r="B7" s="45" t="s">
        <v>86</v>
      </c>
      <c r="C7" s="45"/>
      <c r="D7" s="45"/>
      <c r="E7" s="45"/>
      <c r="F7" s="45"/>
      <c r="G7" s="46">
        <f>IFERROR(($D10*$F10+$D16*$F16+$D23*$F23+$D30*$F30+$D37*$F37+$D43*$F43+$D47*$F47+$D52*$F52)/($D10+$D16+$D23+$D30+$D37+$D43+$D47+$D52),0)</f>
        <v>0.11842105263157894</v>
      </c>
      <c r="H7" s="46"/>
      <c r="I7" s="46"/>
      <c r="J7" s="46"/>
      <c r="K7" s="46"/>
      <c r="L7" s="46"/>
    </row>
    <row r="9" spans="2:12">
      <c r="B9" s="4" t="s">
        <v>87</v>
      </c>
      <c r="C9" s="4" t="s">
        <v>88</v>
      </c>
      <c r="D9" s="4" t="s">
        <v>89</v>
      </c>
      <c r="E9" s="4" t="s">
        <v>90</v>
      </c>
      <c r="F9" s="4" t="s">
        <v>91</v>
      </c>
      <c r="G9" s="4" t="s">
        <v>5</v>
      </c>
      <c r="H9" s="4" t="s">
        <v>92</v>
      </c>
      <c r="I9" s="4" t="s">
        <v>93</v>
      </c>
      <c r="J9" s="4" t="s">
        <v>94</v>
      </c>
      <c r="K9" s="4" t="s">
        <v>95</v>
      </c>
      <c r="L9" s="4" t="s">
        <v>96</v>
      </c>
    </row>
    <row r="10" spans="2:12">
      <c r="B10" s="28"/>
      <c r="C10" s="29" t="s">
        <v>97</v>
      </c>
      <c r="D10" s="30">
        <f>SUMIF($E11:$E15,"&lt;&gt;N/A",$D11:$D15)</f>
        <v>5</v>
      </c>
      <c r="E10" s="28"/>
      <c r="F10" s="31" cm="1">
        <f t="array" ref="F10">IFERROR(SUMPRODUCT(($E11:$E15&lt;&gt;"N/A")*$D11:$D15,IF($E11:$E15="N/A",0,$F11:$F15))/$D10,0)</f>
        <v>0.4</v>
      </c>
      <c r="G10" s="32">
        <v>46202</v>
      </c>
      <c r="H10" s="32">
        <v>46205</v>
      </c>
      <c r="I10" s="28"/>
      <c r="J10" s="28"/>
      <c r="K10" s="2"/>
      <c r="L10" s="28"/>
    </row>
    <row r="11" spans="2:12" ht="26.45">
      <c r="B11" s="33" t="s">
        <v>98</v>
      </c>
      <c r="C11" s="34" t="s">
        <v>99</v>
      </c>
      <c r="D11" s="7">
        <v>1</v>
      </c>
      <c r="E11" s="7" t="s">
        <v>100</v>
      </c>
      <c r="F11" s="35">
        <f>IF($E11="N/A","",VLOOKUP($E11,AvanceTbl,2,FALSE()))</f>
        <v>1</v>
      </c>
      <c r="G11" s="8"/>
      <c r="H11" s="8"/>
      <c r="I11" s="8"/>
      <c r="J11" s="8"/>
      <c r="K11" s="7" t="s">
        <v>101</v>
      </c>
      <c r="L11" s="34"/>
    </row>
    <row r="12" spans="2:12">
      <c r="B12" s="33" t="s">
        <v>102</v>
      </c>
      <c r="C12" s="34" t="s">
        <v>103</v>
      </c>
      <c r="D12" s="7">
        <v>1</v>
      </c>
      <c r="E12" s="7" t="s">
        <v>100</v>
      </c>
      <c r="F12" s="35">
        <f>IF($E12="N/A","",VLOOKUP($E12,AvanceTbl,2,FALSE()))</f>
        <v>1</v>
      </c>
      <c r="G12" s="8"/>
      <c r="H12" s="8"/>
      <c r="I12" s="8"/>
      <c r="J12" s="8"/>
      <c r="K12" s="7" t="s">
        <v>104</v>
      </c>
      <c r="L12" s="34"/>
    </row>
    <row r="13" spans="2:12">
      <c r="B13" s="33" t="s">
        <v>105</v>
      </c>
      <c r="C13" s="34" t="s">
        <v>106</v>
      </c>
      <c r="D13" s="7">
        <v>1</v>
      </c>
      <c r="E13" s="7" t="s">
        <v>107</v>
      </c>
      <c r="F13" s="35">
        <f>IF($E13="N/A","",VLOOKUP($E13,AvanceTbl,2,FALSE()))</f>
        <v>0</v>
      </c>
      <c r="G13" s="8"/>
      <c r="H13" s="8"/>
      <c r="I13" s="8"/>
      <c r="J13" s="8"/>
      <c r="K13" s="7" t="s">
        <v>104</v>
      </c>
      <c r="L13" s="34"/>
    </row>
    <row r="14" spans="2:12">
      <c r="B14" s="33" t="s">
        <v>108</v>
      </c>
      <c r="C14" s="34" t="s">
        <v>109</v>
      </c>
      <c r="D14" s="7">
        <v>1</v>
      </c>
      <c r="E14" s="7" t="s">
        <v>107</v>
      </c>
      <c r="F14" s="35">
        <f>IF($E14="N/A","",VLOOKUP($E14,AvanceTbl,2,FALSE()))</f>
        <v>0</v>
      </c>
      <c r="G14" s="8"/>
      <c r="H14" s="8"/>
      <c r="I14" s="8"/>
      <c r="J14" s="8"/>
      <c r="K14" s="7" t="s">
        <v>104</v>
      </c>
      <c r="L14" s="34"/>
    </row>
    <row r="15" spans="2:12">
      <c r="B15" s="33" t="s">
        <v>110</v>
      </c>
      <c r="C15" s="34" t="s">
        <v>111</v>
      </c>
      <c r="D15" s="7">
        <v>1</v>
      </c>
      <c r="E15" s="7" t="s">
        <v>107</v>
      </c>
      <c r="F15" s="35">
        <f>IF($E15="N/A","",VLOOKUP($E15,AvanceTbl,2,FALSE()))</f>
        <v>0</v>
      </c>
      <c r="G15" s="8"/>
      <c r="H15" s="8"/>
      <c r="I15" s="8"/>
      <c r="J15" s="8"/>
      <c r="K15" s="7" t="s">
        <v>101</v>
      </c>
      <c r="L15" s="34"/>
    </row>
    <row r="16" spans="2:12">
      <c r="B16" s="28"/>
      <c r="C16" s="29" t="s">
        <v>112</v>
      </c>
      <c r="D16" s="30">
        <f>SUMIF($E17:$E22,"&lt;&gt;N/A",$D17:$D22)</f>
        <v>5</v>
      </c>
      <c r="E16" s="28"/>
      <c r="F16" s="31" cm="1">
        <f t="array" ref="F16">IFERROR(SUMPRODUCT(($E17:$E22&lt;&gt;"N/A")*$D17:$D22,IF($E17:$E22="N/A",0,$F17:$F22))/$D16,0)</f>
        <v>0.4</v>
      </c>
      <c r="G16" s="32">
        <v>46205</v>
      </c>
      <c r="H16" s="32">
        <v>46206</v>
      </c>
      <c r="I16" s="28"/>
      <c r="J16" s="28"/>
      <c r="K16" s="2"/>
      <c r="L16" s="28"/>
    </row>
    <row r="17" spans="2:12" ht="26.45">
      <c r="B17" s="33" t="s">
        <v>113</v>
      </c>
      <c r="C17" s="34" t="s">
        <v>114</v>
      </c>
      <c r="D17" s="7">
        <v>1</v>
      </c>
      <c r="E17" s="7" t="s">
        <v>100</v>
      </c>
      <c r="F17" s="35">
        <f t="shared" ref="F17:F22" si="0">IF($E17="N/A","",VLOOKUP($E17,AvanceTbl,2,FALSE()))</f>
        <v>1</v>
      </c>
      <c r="G17" s="8"/>
      <c r="H17" s="8"/>
      <c r="I17" s="8"/>
      <c r="J17" s="8"/>
      <c r="K17" s="7" t="s">
        <v>101</v>
      </c>
      <c r="L17" s="34"/>
    </row>
    <row r="18" spans="2:12">
      <c r="B18" s="33" t="s">
        <v>115</v>
      </c>
      <c r="C18" s="34" t="s">
        <v>116</v>
      </c>
      <c r="D18" s="7">
        <v>1</v>
      </c>
      <c r="E18" s="7" t="s">
        <v>100</v>
      </c>
      <c r="F18" s="35">
        <f t="shared" si="0"/>
        <v>1</v>
      </c>
      <c r="G18" s="8"/>
      <c r="H18" s="8"/>
      <c r="I18" s="8"/>
      <c r="J18" s="8"/>
      <c r="K18" s="7" t="s">
        <v>104</v>
      </c>
      <c r="L18" s="34"/>
    </row>
    <row r="19" spans="2:12">
      <c r="B19" s="33" t="s">
        <v>117</v>
      </c>
      <c r="C19" s="34" t="s">
        <v>118</v>
      </c>
      <c r="D19" s="7">
        <v>1</v>
      </c>
      <c r="E19" s="7" t="s">
        <v>107</v>
      </c>
      <c r="F19" s="35">
        <f t="shared" si="0"/>
        <v>0</v>
      </c>
      <c r="G19" s="8"/>
      <c r="H19" s="8"/>
      <c r="I19" s="8"/>
      <c r="J19" s="8"/>
      <c r="K19" s="7" t="s">
        <v>104</v>
      </c>
      <c r="L19" s="34"/>
    </row>
    <row r="20" spans="2:12">
      <c r="B20" s="33" t="s">
        <v>119</v>
      </c>
      <c r="C20" s="34" t="s">
        <v>120</v>
      </c>
      <c r="D20" s="7">
        <v>1</v>
      </c>
      <c r="E20" s="7" t="s">
        <v>121</v>
      </c>
      <c r="F20" s="35" t="str">
        <f t="shared" si="0"/>
        <v/>
      </c>
      <c r="G20" s="8"/>
      <c r="H20" s="8"/>
      <c r="I20" s="8"/>
      <c r="J20" s="8"/>
      <c r="K20" s="7" t="s">
        <v>104</v>
      </c>
      <c r="L20" s="34"/>
    </row>
    <row r="21" spans="2:12">
      <c r="B21" s="33" t="s">
        <v>122</v>
      </c>
      <c r="C21" s="34" t="s">
        <v>123</v>
      </c>
      <c r="D21" s="7">
        <v>1</v>
      </c>
      <c r="E21" s="7" t="s">
        <v>107</v>
      </c>
      <c r="F21" s="35">
        <f t="shared" si="0"/>
        <v>0</v>
      </c>
      <c r="G21" s="8"/>
      <c r="H21" s="8"/>
      <c r="I21" s="8"/>
      <c r="J21" s="8"/>
      <c r="K21" s="7" t="s">
        <v>104</v>
      </c>
      <c r="L21" s="34"/>
    </row>
    <row r="22" spans="2:12">
      <c r="B22" s="33" t="s">
        <v>124</v>
      </c>
      <c r="C22" s="34" t="s">
        <v>125</v>
      </c>
      <c r="D22" s="7">
        <v>1</v>
      </c>
      <c r="E22" s="7" t="s">
        <v>107</v>
      </c>
      <c r="F22" s="35">
        <f t="shared" si="0"/>
        <v>0</v>
      </c>
      <c r="G22" s="8"/>
      <c r="H22" s="8"/>
      <c r="I22" s="8"/>
      <c r="J22" s="8"/>
      <c r="K22" s="7" t="s">
        <v>104</v>
      </c>
      <c r="L22" s="34"/>
    </row>
    <row r="23" spans="2:12">
      <c r="B23" s="28"/>
      <c r="C23" s="29" t="s">
        <v>126</v>
      </c>
      <c r="D23" s="30">
        <f>SUMIF($E24:$E29,"&lt;&gt;N/A",$D24:$D29)</f>
        <v>6</v>
      </c>
      <c r="E23" s="28"/>
      <c r="F23" s="31" cm="1">
        <f t="array" ref="F23">IFERROR(SUMPRODUCT(($E24:$E29&lt;&gt;"N/A")*$D24:$D29,IF($E24:$E29="N/A",0,$F24:$F29))/$D23,0)</f>
        <v>8.3333333333333329E-2</v>
      </c>
      <c r="G23" s="32">
        <v>46205</v>
      </c>
      <c r="H23" s="32">
        <v>46206</v>
      </c>
      <c r="I23" s="28"/>
      <c r="J23" s="28"/>
      <c r="K23" s="2"/>
      <c r="L23" s="28"/>
    </row>
    <row r="24" spans="2:12">
      <c r="B24" s="33" t="s">
        <v>127</v>
      </c>
      <c r="C24" s="34" t="s">
        <v>128</v>
      </c>
      <c r="D24" s="7">
        <v>1</v>
      </c>
      <c r="E24" s="7" t="s">
        <v>129</v>
      </c>
      <c r="F24" s="35">
        <f t="shared" ref="F24:F29" si="1">IF($E24="N/A","",VLOOKUP($E24,AvanceTbl,2,FALSE()))</f>
        <v>0.5</v>
      </c>
      <c r="G24" s="8"/>
      <c r="H24" s="8"/>
      <c r="I24" s="8"/>
      <c r="J24" s="8"/>
      <c r="K24" s="7" t="s">
        <v>104</v>
      </c>
      <c r="L24" s="34"/>
    </row>
    <row r="25" spans="2:12">
      <c r="B25" s="33" t="s">
        <v>130</v>
      </c>
      <c r="C25" s="34" t="s">
        <v>131</v>
      </c>
      <c r="D25" s="7">
        <v>1</v>
      </c>
      <c r="E25" s="7" t="s">
        <v>107</v>
      </c>
      <c r="F25" s="35">
        <f t="shared" si="1"/>
        <v>0</v>
      </c>
      <c r="G25" s="8"/>
      <c r="H25" s="8"/>
      <c r="I25" s="8"/>
      <c r="J25" s="8"/>
      <c r="K25" s="7" t="s">
        <v>104</v>
      </c>
      <c r="L25" s="34"/>
    </row>
    <row r="26" spans="2:12">
      <c r="B26" s="33" t="s">
        <v>132</v>
      </c>
      <c r="C26" s="34" t="s">
        <v>133</v>
      </c>
      <c r="D26" s="7">
        <v>1</v>
      </c>
      <c r="E26" s="7" t="s">
        <v>107</v>
      </c>
      <c r="F26" s="35">
        <f t="shared" si="1"/>
        <v>0</v>
      </c>
      <c r="G26" s="8"/>
      <c r="H26" s="8"/>
      <c r="I26" s="8"/>
      <c r="J26" s="8"/>
      <c r="K26" s="7" t="s">
        <v>104</v>
      </c>
      <c r="L26" s="34"/>
    </row>
    <row r="27" spans="2:12">
      <c r="B27" s="33" t="s">
        <v>134</v>
      </c>
      <c r="C27" s="34" t="s">
        <v>135</v>
      </c>
      <c r="D27" s="7">
        <v>1</v>
      </c>
      <c r="E27" s="7" t="s">
        <v>107</v>
      </c>
      <c r="F27" s="35">
        <f t="shared" si="1"/>
        <v>0</v>
      </c>
      <c r="G27" s="8"/>
      <c r="H27" s="8"/>
      <c r="I27" s="8"/>
      <c r="J27" s="8"/>
      <c r="K27" s="7" t="s">
        <v>104</v>
      </c>
      <c r="L27" s="34"/>
    </row>
    <row r="28" spans="2:12">
      <c r="B28" s="33" t="s">
        <v>136</v>
      </c>
      <c r="C28" s="34" t="s">
        <v>137</v>
      </c>
      <c r="D28" s="7">
        <v>1</v>
      </c>
      <c r="E28" s="7" t="s">
        <v>107</v>
      </c>
      <c r="F28" s="35">
        <f t="shared" si="1"/>
        <v>0</v>
      </c>
      <c r="G28" s="8"/>
      <c r="H28" s="8"/>
      <c r="I28" s="8"/>
      <c r="J28" s="8"/>
      <c r="K28" s="7" t="s">
        <v>104</v>
      </c>
      <c r="L28" s="34"/>
    </row>
    <row r="29" spans="2:12">
      <c r="B29" s="33" t="s">
        <v>138</v>
      </c>
      <c r="C29" s="34" t="s">
        <v>139</v>
      </c>
      <c r="D29" s="7">
        <v>1</v>
      </c>
      <c r="E29" s="7" t="s">
        <v>107</v>
      </c>
      <c r="F29" s="35">
        <f t="shared" si="1"/>
        <v>0</v>
      </c>
      <c r="G29" s="8"/>
      <c r="H29" s="8"/>
      <c r="I29" s="8"/>
      <c r="J29" s="8"/>
      <c r="K29" s="7" t="s">
        <v>104</v>
      </c>
      <c r="L29" s="34"/>
    </row>
    <row r="30" spans="2:12">
      <c r="B30" s="28"/>
      <c r="C30" s="29" t="s">
        <v>140</v>
      </c>
      <c r="D30" s="30">
        <f>SUMIF($E31:$E36,"&lt;&gt;N/A",$D31:$D36)</f>
        <v>6</v>
      </c>
      <c r="E30" s="28"/>
      <c r="F30" s="31" cm="1">
        <f t="array" ref="F30">IFERROR(SUMPRODUCT(($E31:$E36&lt;&gt;"N/A")*$D31:$D36,IF($E31:$E36="N/A",0,$F31:$F36))/$D30,0)</f>
        <v>0</v>
      </c>
      <c r="G30" s="32">
        <v>46208</v>
      </c>
      <c r="H30" s="32">
        <v>46212</v>
      </c>
      <c r="I30" s="28"/>
      <c r="J30" s="28"/>
      <c r="K30" s="2"/>
      <c r="L30" s="28"/>
    </row>
    <row r="31" spans="2:12">
      <c r="B31" s="33" t="s">
        <v>141</v>
      </c>
      <c r="C31" s="34" t="s">
        <v>142</v>
      </c>
      <c r="D31" s="7">
        <v>1</v>
      </c>
      <c r="E31" s="7" t="s">
        <v>107</v>
      </c>
      <c r="F31" s="35">
        <f t="shared" ref="F31:F36" si="2">IF($E31="N/A","",VLOOKUP($E31,AvanceTbl,2,FALSE()))</f>
        <v>0</v>
      </c>
      <c r="G31" s="8"/>
      <c r="H31" s="8"/>
      <c r="I31" s="8"/>
      <c r="J31" s="8"/>
      <c r="K31" s="7" t="s">
        <v>104</v>
      </c>
      <c r="L31" s="34"/>
    </row>
    <row r="32" spans="2:12">
      <c r="B32" s="33" t="s">
        <v>143</v>
      </c>
      <c r="C32" s="34" t="s">
        <v>144</v>
      </c>
      <c r="D32" s="7">
        <v>1</v>
      </c>
      <c r="E32" s="7" t="s">
        <v>107</v>
      </c>
      <c r="F32" s="35">
        <f t="shared" si="2"/>
        <v>0</v>
      </c>
      <c r="G32" s="8"/>
      <c r="H32" s="8"/>
      <c r="I32" s="8"/>
      <c r="J32" s="8"/>
      <c r="K32" s="7" t="s">
        <v>104</v>
      </c>
      <c r="L32" s="34"/>
    </row>
    <row r="33" spans="2:12">
      <c r="B33" s="33" t="s">
        <v>145</v>
      </c>
      <c r="C33" s="34" t="s">
        <v>146</v>
      </c>
      <c r="D33" s="7">
        <v>1</v>
      </c>
      <c r="E33" s="7" t="s">
        <v>107</v>
      </c>
      <c r="F33" s="35">
        <f t="shared" si="2"/>
        <v>0</v>
      </c>
      <c r="G33" s="8"/>
      <c r="H33" s="8"/>
      <c r="I33" s="8"/>
      <c r="J33" s="8"/>
      <c r="K33" s="7" t="s">
        <v>104</v>
      </c>
      <c r="L33" s="34"/>
    </row>
    <row r="34" spans="2:12">
      <c r="B34" s="33" t="s">
        <v>147</v>
      </c>
      <c r="C34" s="34" t="s">
        <v>148</v>
      </c>
      <c r="D34" s="7">
        <v>1</v>
      </c>
      <c r="E34" s="7" t="s">
        <v>107</v>
      </c>
      <c r="F34" s="35">
        <f t="shared" si="2"/>
        <v>0</v>
      </c>
      <c r="G34" s="8"/>
      <c r="H34" s="8"/>
      <c r="I34" s="8"/>
      <c r="J34" s="8"/>
      <c r="K34" s="7" t="s">
        <v>104</v>
      </c>
      <c r="L34" s="34"/>
    </row>
    <row r="35" spans="2:12">
      <c r="B35" s="33" t="s">
        <v>149</v>
      </c>
      <c r="C35" s="34" t="s">
        <v>150</v>
      </c>
      <c r="D35" s="7">
        <v>1</v>
      </c>
      <c r="E35" s="7" t="s">
        <v>107</v>
      </c>
      <c r="F35" s="35">
        <f t="shared" si="2"/>
        <v>0</v>
      </c>
      <c r="G35" s="8"/>
      <c r="H35" s="8"/>
      <c r="I35" s="8"/>
      <c r="J35" s="8"/>
      <c r="K35" s="7" t="s">
        <v>104</v>
      </c>
      <c r="L35" s="34"/>
    </row>
    <row r="36" spans="2:12">
      <c r="B36" s="33" t="s">
        <v>151</v>
      </c>
      <c r="C36" s="34" t="s">
        <v>152</v>
      </c>
      <c r="D36" s="7">
        <v>1</v>
      </c>
      <c r="E36" s="7" t="s">
        <v>107</v>
      </c>
      <c r="F36" s="35">
        <f t="shared" si="2"/>
        <v>0</v>
      </c>
      <c r="G36" s="8"/>
      <c r="H36" s="8"/>
      <c r="I36" s="8"/>
      <c r="J36" s="8"/>
      <c r="K36" s="7" t="s">
        <v>104</v>
      </c>
      <c r="L36" s="34"/>
    </row>
    <row r="37" spans="2:12">
      <c r="B37" s="28"/>
      <c r="C37" s="29" t="s">
        <v>153</v>
      </c>
      <c r="D37" s="30">
        <f>SUMIF($E38:$E42,"&lt;&gt;N/A",$D38:$D42)</f>
        <v>5</v>
      </c>
      <c r="E37" s="28"/>
      <c r="F37" s="31" cm="1">
        <f t="array" ref="F37">IFERROR(SUMPRODUCT(($E38:$E42&lt;&gt;"N/A")*$D38:$D42,IF($E38:$E42="N/A",0,$F38:$F42))/$D37,0)</f>
        <v>0</v>
      </c>
      <c r="G37" s="32">
        <v>46213</v>
      </c>
      <c r="H37" s="32">
        <v>46213</v>
      </c>
      <c r="I37" s="28"/>
      <c r="J37" s="28"/>
      <c r="K37" s="2"/>
      <c r="L37" s="28"/>
    </row>
    <row r="38" spans="2:12">
      <c r="B38" s="33" t="s">
        <v>154</v>
      </c>
      <c r="C38" s="34" t="s">
        <v>155</v>
      </c>
      <c r="D38" s="7">
        <v>1</v>
      </c>
      <c r="E38" s="7" t="s">
        <v>107</v>
      </c>
      <c r="F38" s="35">
        <f>IF($E38="N/A","",VLOOKUP($E38,AvanceTbl,2,FALSE()))</f>
        <v>0</v>
      </c>
      <c r="G38" s="8"/>
      <c r="H38" s="8"/>
      <c r="I38" s="8"/>
      <c r="J38" s="8"/>
      <c r="K38" s="7" t="s">
        <v>104</v>
      </c>
      <c r="L38" s="34"/>
    </row>
    <row r="39" spans="2:12">
      <c r="B39" s="33" t="s">
        <v>156</v>
      </c>
      <c r="C39" s="34" t="s">
        <v>157</v>
      </c>
      <c r="D39" s="7">
        <v>1</v>
      </c>
      <c r="E39" s="7" t="s">
        <v>107</v>
      </c>
      <c r="F39" s="35">
        <f>IF($E39="N/A","",VLOOKUP($E39,AvanceTbl,2,FALSE()))</f>
        <v>0</v>
      </c>
      <c r="G39" s="8"/>
      <c r="H39" s="8"/>
      <c r="I39" s="8"/>
      <c r="J39" s="8"/>
      <c r="K39" s="7" t="s">
        <v>104</v>
      </c>
      <c r="L39" s="34"/>
    </row>
    <row r="40" spans="2:12">
      <c r="B40" s="33" t="s">
        <v>158</v>
      </c>
      <c r="C40" s="34" t="s">
        <v>159</v>
      </c>
      <c r="D40" s="7">
        <v>1</v>
      </c>
      <c r="E40" s="7" t="s">
        <v>107</v>
      </c>
      <c r="F40" s="35">
        <f>IF($E40="N/A","",VLOOKUP($E40,AvanceTbl,2,FALSE()))</f>
        <v>0</v>
      </c>
      <c r="G40" s="8"/>
      <c r="H40" s="8"/>
      <c r="I40" s="8"/>
      <c r="J40" s="8"/>
      <c r="K40" s="7" t="s">
        <v>104</v>
      </c>
      <c r="L40" s="34"/>
    </row>
    <row r="41" spans="2:12">
      <c r="B41" s="33" t="s">
        <v>160</v>
      </c>
      <c r="C41" s="34" t="s">
        <v>161</v>
      </c>
      <c r="D41" s="7">
        <v>1</v>
      </c>
      <c r="E41" s="7" t="s">
        <v>107</v>
      </c>
      <c r="F41" s="35">
        <f>IF($E41="N/A","",VLOOKUP($E41,AvanceTbl,2,FALSE()))</f>
        <v>0</v>
      </c>
      <c r="G41" s="8"/>
      <c r="H41" s="8"/>
      <c r="I41" s="8"/>
      <c r="J41" s="8"/>
      <c r="K41" s="7" t="s">
        <v>104</v>
      </c>
      <c r="L41" s="34"/>
    </row>
    <row r="42" spans="2:12">
      <c r="B42" s="33" t="s">
        <v>162</v>
      </c>
      <c r="C42" s="34" t="s">
        <v>163</v>
      </c>
      <c r="D42" s="7">
        <v>1</v>
      </c>
      <c r="E42" s="7" t="s">
        <v>107</v>
      </c>
      <c r="F42" s="35">
        <f>IF($E42="N/A","",VLOOKUP($E42,AvanceTbl,2,FALSE()))</f>
        <v>0</v>
      </c>
      <c r="G42" s="8"/>
      <c r="H42" s="8"/>
      <c r="I42" s="8"/>
      <c r="J42" s="8"/>
      <c r="K42" s="7" t="s">
        <v>101</v>
      </c>
      <c r="L42" s="34"/>
    </row>
    <row r="43" spans="2:12">
      <c r="B43" s="28"/>
      <c r="C43" s="29" t="s">
        <v>164</v>
      </c>
      <c r="D43" s="30">
        <f>SUMIF($E44:$E46,"&lt;&gt;N/A",$D44:$D46)</f>
        <v>3</v>
      </c>
      <c r="E43" s="28"/>
      <c r="F43" s="31" cm="1">
        <f t="array" ref="F43">IFERROR(SUMPRODUCT(($E44:$E46&lt;&gt;"N/A")*$D44:$D46,IF($E44:$E46="N/A",0,$F44:$F46))/$D43,0)</f>
        <v>0</v>
      </c>
      <c r="G43" s="32">
        <v>46213</v>
      </c>
      <c r="H43" s="32">
        <v>46213</v>
      </c>
      <c r="I43" s="28"/>
      <c r="J43" s="28"/>
      <c r="K43" s="2"/>
      <c r="L43" s="28"/>
    </row>
    <row r="44" spans="2:12">
      <c r="B44" s="33" t="s">
        <v>165</v>
      </c>
      <c r="C44" s="34" t="s">
        <v>166</v>
      </c>
      <c r="D44" s="7">
        <v>1</v>
      </c>
      <c r="E44" s="7" t="s">
        <v>107</v>
      </c>
      <c r="F44" s="35">
        <f>IF($E44="N/A","",VLOOKUP($E44,AvanceTbl,2,FALSE()))</f>
        <v>0</v>
      </c>
      <c r="G44" s="8"/>
      <c r="H44" s="8"/>
      <c r="I44" s="8"/>
      <c r="J44" s="8"/>
      <c r="K44" s="7" t="s">
        <v>104</v>
      </c>
      <c r="L44" s="34"/>
    </row>
    <row r="45" spans="2:12">
      <c r="B45" s="33" t="s">
        <v>167</v>
      </c>
      <c r="C45" s="34" t="s">
        <v>168</v>
      </c>
      <c r="D45" s="7">
        <v>1</v>
      </c>
      <c r="E45" s="7" t="s">
        <v>107</v>
      </c>
      <c r="F45" s="35">
        <f>IF($E45="N/A","",VLOOKUP($E45,AvanceTbl,2,FALSE()))</f>
        <v>0</v>
      </c>
      <c r="G45" s="8"/>
      <c r="H45" s="8"/>
      <c r="I45" s="8"/>
      <c r="J45" s="8"/>
      <c r="K45" s="7" t="s">
        <v>101</v>
      </c>
      <c r="L45" s="34"/>
    </row>
    <row r="46" spans="2:12">
      <c r="B46" s="33" t="s">
        <v>169</v>
      </c>
      <c r="C46" s="34" t="s">
        <v>170</v>
      </c>
      <c r="D46" s="7">
        <v>1</v>
      </c>
      <c r="E46" s="7" t="s">
        <v>107</v>
      </c>
      <c r="F46" s="35">
        <f>IF($E46="N/A","",VLOOKUP($E46,AvanceTbl,2,FALSE()))</f>
        <v>0</v>
      </c>
      <c r="G46" s="8"/>
      <c r="H46" s="8"/>
      <c r="I46" s="8"/>
      <c r="J46" s="8"/>
      <c r="K46" s="7" t="s">
        <v>101</v>
      </c>
      <c r="L46" s="34"/>
    </row>
    <row r="47" spans="2:12">
      <c r="B47" s="28"/>
      <c r="C47" s="29" t="s">
        <v>171</v>
      </c>
      <c r="D47" s="30">
        <f>SUMIF($E48:$E51,"&lt;&gt;N/A",$D48:$D51)</f>
        <v>4</v>
      </c>
      <c r="E47" s="28"/>
      <c r="F47" s="31" cm="1">
        <f t="array" ref="F47">IFERROR(SUMPRODUCT(($E48:$E51&lt;&gt;"N/A")*$D48:$D51,IF($E48:$E51="N/A",0,$F48:$F51))/$D47,0)</f>
        <v>0</v>
      </c>
      <c r="G47" s="32">
        <v>46216</v>
      </c>
      <c r="H47" s="32">
        <v>46217</v>
      </c>
      <c r="I47" s="28"/>
      <c r="J47" s="28"/>
      <c r="K47" s="2"/>
      <c r="L47" s="28"/>
    </row>
    <row r="48" spans="2:12">
      <c r="B48" s="33" t="s">
        <v>172</v>
      </c>
      <c r="C48" s="34" t="s">
        <v>173</v>
      </c>
      <c r="D48" s="7">
        <v>1</v>
      </c>
      <c r="E48" s="7" t="s">
        <v>107</v>
      </c>
      <c r="F48" s="35">
        <f>IF($E48="N/A","",VLOOKUP($E48,AvanceTbl,2,FALSE()))</f>
        <v>0</v>
      </c>
      <c r="G48" s="8"/>
      <c r="H48" s="8"/>
      <c r="I48" s="8"/>
      <c r="J48" s="8"/>
      <c r="K48" s="7" t="s">
        <v>104</v>
      </c>
      <c r="L48" s="34"/>
    </row>
    <row r="49" spans="2:12" ht="26.45">
      <c r="B49" s="33" t="s">
        <v>174</v>
      </c>
      <c r="C49" s="34" t="s">
        <v>175</v>
      </c>
      <c r="D49" s="7">
        <v>1</v>
      </c>
      <c r="E49" s="7" t="s">
        <v>107</v>
      </c>
      <c r="F49" s="35">
        <f>IF($E49="N/A","",VLOOKUP($E49,AvanceTbl,2,FALSE()))</f>
        <v>0</v>
      </c>
      <c r="G49" s="8"/>
      <c r="H49" s="8"/>
      <c r="I49" s="8"/>
      <c r="J49" s="8"/>
      <c r="K49" s="7" t="s">
        <v>104</v>
      </c>
      <c r="L49" s="34"/>
    </row>
    <row r="50" spans="2:12">
      <c r="B50" s="33" t="s">
        <v>176</v>
      </c>
      <c r="C50" s="34" t="s">
        <v>177</v>
      </c>
      <c r="D50" s="7">
        <v>1</v>
      </c>
      <c r="E50" s="7" t="s">
        <v>107</v>
      </c>
      <c r="F50" s="35">
        <f>IF($E50="N/A","",VLOOKUP($E50,AvanceTbl,2,FALSE()))</f>
        <v>0</v>
      </c>
      <c r="G50" s="8"/>
      <c r="H50" s="8"/>
      <c r="I50" s="8"/>
      <c r="J50" s="8"/>
      <c r="K50" s="7" t="s">
        <v>104</v>
      </c>
      <c r="L50" s="34"/>
    </row>
    <row r="51" spans="2:12">
      <c r="B51" s="33" t="s">
        <v>178</v>
      </c>
      <c r="C51" s="34" t="s">
        <v>179</v>
      </c>
      <c r="D51" s="7">
        <v>1</v>
      </c>
      <c r="E51" s="7" t="s">
        <v>107</v>
      </c>
      <c r="F51" s="35">
        <f>IF($E51="N/A","",VLOOKUP($E51,AvanceTbl,2,FALSE()))</f>
        <v>0</v>
      </c>
      <c r="G51" s="8"/>
      <c r="H51" s="8"/>
      <c r="I51" s="8"/>
      <c r="J51" s="8"/>
      <c r="K51" s="7" t="s">
        <v>101</v>
      </c>
      <c r="L51" s="34"/>
    </row>
    <row r="52" spans="2:12">
      <c r="B52" s="28"/>
      <c r="C52" s="29" t="s">
        <v>180</v>
      </c>
      <c r="D52" s="30">
        <f>SUMIF($E53:$E56,"&lt;&gt;N/A",$D53:$D56)</f>
        <v>4</v>
      </c>
      <c r="E52" s="28"/>
      <c r="F52" s="31" cm="1">
        <f t="array" ref="F52">IFERROR(SUMPRODUCT(($E53:$E56&lt;&gt;"N/A")*$D53:$D56,IF($E53:$E56="N/A",0,$F53:$F56))/$D52,0)</f>
        <v>0</v>
      </c>
      <c r="G52" s="32">
        <v>46217</v>
      </c>
      <c r="H52" s="32">
        <v>46217</v>
      </c>
      <c r="I52" s="28"/>
      <c r="J52" s="28"/>
      <c r="K52" s="2"/>
      <c r="L52" s="28"/>
    </row>
    <row r="53" spans="2:12">
      <c r="B53" s="33" t="s">
        <v>181</v>
      </c>
      <c r="C53" s="34" t="s">
        <v>182</v>
      </c>
      <c r="D53" s="7">
        <v>1</v>
      </c>
      <c r="E53" s="7" t="s">
        <v>107</v>
      </c>
      <c r="F53" s="35">
        <f>IF($E53="N/A","",VLOOKUP($E53,AvanceTbl,2,FALSE()))</f>
        <v>0</v>
      </c>
      <c r="G53" s="8"/>
      <c r="H53" s="8"/>
      <c r="I53" s="8"/>
      <c r="J53" s="8"/>
      <c r="K53" s="7" t="s">
        <v>101</v>
      </c>
      <c r="L53" s="34"/>
    </row>
    <row r="54" spans="2:12">
      <c r="B54" s="33" t="s">
        <v>183</v>
      </c>
      <c r="C54" s="34" t="s">
        <v>184</v>
      </c>
      <c r="D54" s="7">
        <v>1</v>
      </c>
      <c r="E54" s="7" t="s">
        <v>107</v>
      </c>
      <c r="F54" s="35">
        <f>IF($E54="N/A","",VLOOKUP($E54,AvanceTbl,2,FALSE()))</f>
        <v>0</v>
      </c>
      <c r="G54" s="8"/>
      <c r="H54" s="8"/>
      <c r="I54" s="8"/>
      <c r="J54" s="8"/>
      <c r="K54" s="7" t="s">
        <v>101</v>
      </c>
      <c r="L54" s="34"/>
    </row>
    <row r="55" spans="2:12">
      <c r="B55" s="33" t="s">
        <v>185</v>
      </c>
      <c r="C55" s="34" t="s">
        <v>186</v>
      </c>
      <c r="D55" s="7">
        <v>1</v>
      </c>
      <c r="E55" s="7" t="s">
        <v>107</v>
      </c>
      <c r="F55" s="35">
        <f>IF($E55="N/A","",VLOOKUP($E55,AvanceTbl,2,FALSE()))</f>
        <v>0</v>
      </c>
      <c r="G55" s="8"/>
      <c r="H55" s="8"/>
      <c r="I55" s="8"/>
      <c r="J55" s="8"/>
      <c r="K55" s="7" t="s">
        <v>101</v>
      </c>
      <c r="L55" s="34"/>
    </row>
    <row r="56" spans="2:12">
      <c r="B56" s="33" t="s">
        <v>187</v>
      </c>
      <c r="C56" s="34" t="s">
        <v>188</v>
      </c>
      <c r="D56" s="7">
        <v>1</v>
      </c>
      <c r="E56" s="7" t="s">
        <v>107</v>
      </c>
      <c r="F56" s="35">
        <f>IF($E56="N/A","",VLOOKUP($E56,AvanceTbl,2,FALSE()))</f>
        <v>0</v>
      </c>
      <c r="G56" s="8"/>
      <c r="H56" s="8"/>
      <c r="I56" s="8"/>
      <c r="J56" s="8"/>
      <c r="K56" s="7" t="s">
        <v>189</v>
      </c>
      <c r="L56" s="34"/>
    </row>
  </sheetData>
  <mergeCells count="9">
    <mergeCell ref="B7:F7"/>
    <mergeCell ref="G7:L7"/>
    <mergeCell ref="B2:L2"/>
    <mergeCell ref="C4:E4"/>
    <mergeCell ref="G4:H4"/>
    <mergeCell ref="J4:L4"/>
    <mergeCell ref="C5:E5"/>
    <mergeCell ref="G5:H5"/>
    <mergeCell ref="J5:L5"/>
  </mergeCells>
  <conditionalFormatting sqref="E10:E56">
    <cfRule type="cellIs" dxfId="74" priority="2" operator="equal">
      <formula>"Completado"</formula>
    </cfRule>
    <cfRule type="cellIs" dxfId="73" priority="3" operator="equal">
      <formula>"En proceso"</formula>
    </cfRule>
    <cfRule type="cellIs" dxfId="72" priority="4" operator="equal">
      <formula>"Pendiente"</formula>
    </cfRule>
  </conditionalFormatting>
  <conditionalFormatting sqref="F10:F56">
    <cfRule type="dataBar" priority="5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{70D01BE7-A92C-41A8-B2A5-ACF096E0457F}</x14:id>
        </ext>
      </extLst>
    </cfRule>
  </conditionalFormatting>
  <conditionalFormatting sqref="G11:G15">
    <cfRule type="expression" dxfId="71" priority="6">
      <formula>AND($G11&lt;&gt;"",$G11&lt;TODAY(),$E11&lt;&gt;"Completado",$E11&lt;&gt;"N/A")</formula>
    </cfRule>
  </conditionalFormatting>
  <conditionalFormatting sqref="G17:G22">
    <cfRule type="expression" dxfId="70" priority="11">
      <formula>AND($G17&lt;&gt;"",$G17&lt;TODAY(),$E17&lt;&gt;"Completado",$E17&lt;&gt;"N/A")</formula>
    </cfRule>
  </conditionalFormatting>
  <conditionalFormatting sqref="G24:G29">
    <cfRule type="expression" dxfId="69" priority="17">
      <formula>AND($G24&lt;&gt;"",$G24&lt;TODAY(),$E24&lt;&gt;"Completado",$E24&lt;&gt;"N/A")</formula>
    </cfRule>
  </conditionalFormatting>
  <conditionalFormatting sqref="G31:G36">
    <cfRule type="expression" dxfId="68" priority="23">
      <formula>AND($G31&lt;&gt;"",$G31&lt;TODAY(),$E31&lt;&gt;"Completado",$E31&lt;&gt;"N/A")</formula>
    </cfRule>
  </conditionalFormatting>
  <conditionalFormatting sqref="G38:G42">
    <cfRule type="expression" dxfId="67" priority="29">
      <formula>AND($G38&lt;&gt;"",$G38&lt;TODAY(),$E38&lt;&gt;"Completado",$E38&lt;&gt;"N/A")</formula>
    </cfRule>
  </conditionalFormatting>
  <conditionalFormatting sqref="G44:G46">
    <cfRule type="expression" dxfId="66" priority="34">
      <formula>AND($G44&lt;&gt;"",$G44&lt;TODAY(),$E44&lt;&gt;"Completado",$E44&lt;&gt;"N/A")</formula>
    </cfRule>
  </conditionalFormatting>
  <conditionalFormatting sqref="G48:G51">
    <cfRule type="expression" dxfId="65" priority="37">
      <formula>AND($G48&lt;&gt;"",$G48&lt;TODAY(),$E48&lt;&gt;"Completado",$E48&lt;&gt;"N/A")</formula>
    </cfRule>
  </conditionalFormatting>
  <conditionalFormatting sqref="G53:G56">
    <cfRule type="expression" dxfId="64" priority="41">
      <formula>AND($G53&lt;&gt;"",$G53&lt;TODAY(),$E53&lt;&gt;"Completado",$E53&lt;&gt;"N/A")</formula>
    </cfRule>
  </conditionalFormatting>
  <dataValidations count="1">
    <dataValidation type="list" allowBlank="1" sqref="E11:E15 E17:E22 E24:E29 E31:E36 E38:E42 E44:E46 E48:E51 E53:E56" xr:uid="{00000000-0002-0000-0200-000000000000}">
      <formula1>EstadoList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0D01BE7-A92C-41A8-B2A5-ACF096E0457F}">
            <x14:dataBar axisPosition="none">
              <x14:cfvo type="num">
                <xm:f>0</xm:f>
              </x14:cfvo>
              <x14:cfvo type="num">
                <xm:f>1</xm:f>
              </x14:cfvo>
              <x14:negativeFillColor rgb="FF63C384"/>
            </x14:dataBar>
          </x14:cfRule>
          <xm:sqref>F10:F56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2E5496"/>
  </sheetPr>
  <dimension ref="B2:L56"/>
  <sheetViews>
    <sheetView showGridLines="0" tabSelected="1" zoomScaleNormal="100" workbookViewId="0">
      <pane xSplit="6" ySplit="9" topLeftCell="G10" activePane="bottomRight" state="frozen"/>
      <selection pane="bottomRight" activeCell="I16" sqref="I16"/>
      <selection pane="bottomLeft" activeCell="A10" sqref="A10"/>
      <selection pane="topRight" activeCell="G1" sqref="G1"/>
    </sheetView>
  </sheetViews>
  <sheetFormatPr defaultColWidth="8.7109375" defaultRowHeight="14.45"/>
  <cols>
    <col min="1" max="1" width="2" customWidth="1"/>
    <col min="2" max="2" width="6" customWidth="1"/>
    <col min="3" max="3" width="50" customWidth="1"/>
    <col min="4" max="4" width="7" customWidth="1"/>
    <col min="5" max="5" width="13" customWidth="1"/>
    <col min="6" max="6" width="9" customWidth="1"/>
    <col min="7" max="10" width="12" customWidth="1"/>
    <col min="11" max="11" width="15" customWidth="1"/>
    <col min="12" max="12" width="30" customWidth="1"/>
  </cols>
  <sheetData>
    <row r="2" spans="2:12" ht="17.45">
      <c r="B2" s="47" t="s">
        <v>190</v>
      </c>
      <c r="C2" s="47"/>
      <c r="D2" s="47"/>
      <c r="E2" s="47"/>
      <c r="F2" s="47"/>
      <c r="G2" s="47"/>
      <c r="H2" s="47"/>
      <c r="I2" s="47"/>
      <c r="J2" s="47"/>
      <c r="K2" s="47"/>
      <c r="L2" s="47"/>
    </row>
    <row r="3" spans="2:12" ht="15"/>
    <row r="4" spans="2:12" ht="15">
      <c r="B4" s="27" t="s">
        <v>80</v>
      </c>
      <c r="F4" s="27" t="s">
        <v>81</v>
      </c>
      <c r="G4" s="48" t="s">
        <v>11</v>
      </c>
      <c r="H4" s="48"/>
      <c r="I4" s="27" t="s">
        <v>82</v>
      </c>
      <c r="J4" s="48"/>
      <c r="K4" s="48"/>
      <c r="L4" s="48"/>
    </row>
    <row r="5" spans="2:12" ht="14.45" customHeight="1">
      <c r="B5" s="27" t="s">
        <v>83</v>
      </c>
      <c r="C5" s="48"/>
      <c r="D5" s="48"/>
      <c r="E5" s="48"/>
      <c r="F5" s="27" t="s">
        <v>191</v>
      </c>
      <c r="G5" s="48" t="s">
        <v>192</v>
      </c>
      <c r="H5" s="48"/>
      <c r="I5" s="27" t="s">
        <v>85</v>
      </c>
      <c r="J5" s="54">
        <v>46230</v>
      </c>
      <c r="K5" s="48"/>
      <c r="L5" s="48"/>
    </row>
    <row r="6" spans="2:12" ht="15"/>
    <row r="7" spans="2:12" ht="21">
      <c r="B7" s="45" t="s">
        <v>86</v>
      </c>
      <c r="C7" s="45"/>
      <c r="D7" s="45"/>
      <c r="E7" s="45"/>
      <c r="F7" s="45"/>
      <c r="G7" s="46">
        <f>IFERROR(($D10*$F10+$D16*$F16+$D23*$F23+$D30*$F30+$D37*$F37+$D43*$F43+$D47*$F47+$D52*$F52)/($D10+$D16+$D23+$D30+$D37+$D43+$D47+$D52),0)</f>
        <v>0.11842105263157894</v>
      </c>
      <c r="H7" s="46"/>
      <c r="I7" s="46"/>
      <c r="J7" s="46"/>
      <c r="K7" s="46"/>
      <c r="L7" s="46"/>
    </row>
    <row r="9" spans="2:12">
      <c r="B9" s="4" t="s">
        <v>87</v>
      </c>
      <c r="C9" s="4" t="s">
        <v>88</v>
      </c>
      <c r="D9" s="4" t="s">
        <v>89</v>
      </c>
      <c r="E9" s="4" t="s">
        <v>90</v>
      </c>
      <c r="F9" s="4" t="s">
        <v>91</v>
      </c>
      <c r="G9" s="4" t="s">
        <v>5</v>
      </c>
      <c r="H9" s="4" t="s">
        <v>92</v>
      </c>
      <c r="I9" s="4" t="s">
        <v>93</v>
      </c>
      <c r="J9" s="4" t="s">
        <v>94</v>
      </c>
      <c r="K9" s="4" t="s">
        <v>95</v>
      </c>
      <c r="L9" s="4" t="s">
        <v>96</v>
      </c>
    </row>
    <row r="10" spans="2:12">
      <c r="B10" s="28"/>
      <c r="C10" s="29" t="s">
        <v>97</v>
      </c>
      <c r="D10" s="30">
        <f>SUMIF($E11:$E15,"&lt;&gt;N/A",$D11:$D15)</f>
        <v>5</v>
      </c>
      <c r="E10" s="28"/>
      <c r="F10" s="31" cm="1">
        <f t="array" ref="F10">IFERROR(SUMPRODUCT(($E11:$E15&lt;&gt;"N/A")*$D11:$D15,IF($E11:$E15="N/A",0,$F11:$F15))/$D10,0)</f>
        <v>0.4</v>
      </c>
      <c r="G10" s="32">
        <v>46202</v>
      </c>
      <c r="H10" s="32">
        <v>46205</v>
      </c>
      <c r="I10" s="28"/>
      <c r="J10" s="28"/>
      <c r="K10" s="28"/>
      <c r="L10" s="28"/>
    </row>
    <row r="11" spans="2:12" ht="26.45">
      <c r="B11" s="33" t="s">
        <v>98</v>
      </c>
      <c r="C11" s="34" t="s">
        <v>99</v>
      </c>
      <c r="D11" s="7">
        <v>1</v>
      </c>
      <c r="E11" s="7" t="s">
        <v>100</v>
      </c>
      <c r="F11" s="35">
        <f>IF($E11="N/A","",VLOOKUP($E11,AvanceTbl,2,FALSE()))</f>
        <v>1</v>
      </c>
      <c r="G11" s="8"/>
      <c r="H11" s="8"/>
      <c r="I11" s="8"/>
      <c r="J11" s="8"/>
      <c r="K11" s="7" t="s">
        <v>101</v>
      </c>
      <c r="L11" s="34"/>
    </row>
    <row r="12" spans="2:12">
      <c r="B12" s="33" t="s">
        <v>102</v>
      </c>
      <c r="C12" s="34" t="s">
        <v>103</v>
      </c>
      <c r="D12" s="7">
        <v>1</v>
      </c>
      <c r="E12" s="7" t="s">
        <v>100</v>
      </c>
      <c r="F12" s="35">
        <f>IF($E12="N/A","",VLOOKUP($E12,AvanceTbl,2,FALSE()))</f>
        <v>1</v>
      </c>
      <c r="G12" s="8"/>
      <c r="H12" s="8"/>
      <c r="I12" s="8"/>
      <c r="J12" s="8"/>
      <c r="K12" s="7" t="s">
        <v>104</v>
      </c>
      <c r="L12" s="34"/>
    </row>
    <row r="13" spans="2:12">
      <c r="B13" s="33" t="s">
        <v>105</v>
      </c>
      <c r="C13" s="34" t="s">
        <v>106</v>
      </c>
      <c r="D13" s="7">
        <v>1</v>
      </c>
      <c r="E13" s="7" t="s">
        <v>107</v>
      </c>
      <c r="F13" s="35">
        <f>IF($E13="N/A","",VLOOKUP($E13,AvanceTbl,2,FALSE()))</f>
        <v>0</v>
      </c>
      <c r="G13" s="8"/>
      <c r="H13" s="8"/>
      <c r="I13" s="8"/>
      <c r="J13" s="8"/>
      <c r="K13" s="7" t="s">
        <v>104</v>
      </c>
      <c r="L13" s="34"/>
    </row>
    <row r="14" spans="2:12">
      <c r="B14" s="33" t="s">
        <v>108</v>
      </c>
      <c r="C14" s="34" t="s">
        <v>109</v>
      </c>
      <c r="D14" s="7">
        <v>1</v>
      </c>
      <c r="E14" s="7" t="s">
        <v>107</v>
      </c>
      <c r="F14" s="35">
        <f>IF($E14="N/A","",VLOOKUP($E14,AvanceTbl,2,FALSE()))</f>
        <v>0</v>
      </c>
      <c r="G14" s="8"/>
      <c r="H14" s="8"/>
      <c r="I14" s="8"/>
      <c r="J14" s="8"/>
      <c r="K14" s="7" t="s">
        <v>104</v>
      </c>
      <c r="L14" s="34"/>
    </row>
    <row r="15" spans="2:12">
      <c r="B15" s="33" t="s">
        <v>110</v>
      </c>
      <c r="C15" s="34" t="s">
        <v>111</v>
      </c>
      <c r="D15" s="7">
        <v>1</v>
      </c>
      <c r="E15" s="7" t="s">
        <v>107</v>
      </c>
      <c r="F15" s="35">
        <f>IF($E15="N/A","",VLOOKUP($E15,AvanceTbl,2,FALSE()))</f>
        <v>0</v>
      </c>
      <c r="G15" s="8"/>
      <c r="H15" s="8"/>
      <c r="I15" s="8"/>
      <c r="J15" s="8"/>
      <c r="K15" s="7" t="s">
        <v>101</v>
      </c>
      <c r="L15" s="34"/>
    </row>
    <row r="16" spans="2:12">
      <c r="B16" s="28"/>
      <c r="C16" s="29" t="s">
        <v>112</v>
      </c>
      <c r="D16" s="30">
        <f>SUMIF($E17:$E22,"&lt;&gt;N/A",$D17:$D22)</f>
        <v>5</v>
      </c>
      <c r="E16" s="28"/>
      <c r="F16" s="31" cm="1">
        <f t="array" ref="F16">IFERROR(SUMPRODUCT(($E17:$E22&lt;&gt;"N/A")*$D17:$D22,IF($E17:$E22="N/A",0,$F17:$F22))/$D16,0)</f>
        <v>0.4</v>
      </c>
      <c r="G16" s="32">
        <v>46205</v>
      </c>
      <c r="H16" s="32">
        <v>46206</v>
      </c>
      <c r="I16" s="55"/>
      <c r="J16" s="28"/>
      <c r="K16" s="2"/>
      <c r="L16" s="28"/>
    </row>
    <row r="17" spans="2:12" ht="26.45">
      <c r="B17" s="33" t="s">
        <v>113</v>
      </c>
      <c r="C17" s="34" t="s">
        <v>114</v>
      </c>
      <c r="D17" s="7">
        <v>1</v>
      </c>
      <c r="E17" s="7" t="s">
        <v>100</v>
      </c>
      <c r="F17" s="35">
        <f t="shared" ref="F17:F22" si="0">IF($E17="N/A","",VLOOKUP($E17,AvanceTbl,2,FALSE()))</f>
        <v>1</v>
      </c>
      <c r="G17" s="8"/>
      <c r="H17" s="8"/>
      <c r="I17" s="8"/>
      <c r="J17" s="8"/>
      <c r="K17" s="7" t="s">
        <v>101</v>
      </c>
      <c r="L17" s="34"/>
    </row>
    <row r="18" spans="2:12">
      <c r="B18" s="33" t="s">
        <v>115</v>
      </c>
      <c r="C18" s="34" t="s">
        <v>116</v>
      </c>
      <c r="D18" s="7">
        <v>1</v>
      </c>
      <c r="E18" s="7" t="s">
        <v>100</v>
      </c>
      <c r="F18" s="35">
        <f t="shared" si="0"/>
        <v>1</v>
      </c>
      <c r="G18" s="8"/>
      <c r="H18" s="8"/>
      <c r="I18" s="8"/>
      <c r="J18" s="8"/>
      <c r="K18" s="7" t="s">
        <v>104</v>
      </c>
      <c r="L18" s="34"/>
    </row>
    <row r="19" spans="2:12">
      <c r="B19" s="33" t="s">
        <v>117</v>
      </c>
      <c r="C19" s="34" t="s">
        <v>118</v>
      </c>
      <c r="D19" s="7">
        <v>1</v>
      </c>
      <c r="E19" s="7" t="s">
        <v>107</v>
      </c>
      <c r="F19" s="35">
        <f t="shared" si="0"/>
        <v>0</v>
      </c>
      <c r="G19" s="8"/>
      <c r="H19" s="8"/>
      <c r="I19" s="8"/>
      <c r="J19" s="8"/>
      <c r="K19" s="7" t="s">
        <v>104</v>
      </c>
      <c r="L19" s="34"/>
    </row>
    <row r="20" spans="2:12">
      <c r="B20" s="33" t="s">
        <v>119</v>
      </c>
      <c r="C20" s="34" t="s">
        <v>120</v>
      </c>
      <c r="D20" s="7">
        <v>1</v>
      </c>
      <c r="E20" s="7" t="s">
        <v>121</v>
      </c>
      <c r="F20" s="35" t="str">
        <f t="shared" si="0"/>
        <v/>
      </c>
      <c r="G20" s="8"/>
      <c r="H20" s="8"/>
      <c r="I20" s="8"/>
      <c r="J20" s="8"/>
      <c r="K20" s="7" t="s">
        <v>104</v>
      </c>
      <c r="L20" s="34"/>
    </row>
    <row r="21" spans="2:12">
      <c r="B21" s="33" t="s">
        <v>122</v>
      </c>
      <c r="C21" s="34" t="s">
        <v>123</v>
      </c>
      <c r="D21" s="7">
        <v>1</v>
      </c>
      <c r="E21" s="7" t="s">
        <v>107</v>
      </c>
      <c r="F21" s="35">
        <f t="shared" si="0"/>
        <v>0</v>
      </c>
      <c r="G21" s="8"/>
      <c r="H21" s="8"/>
      <c r="I21" s="8"/>
      <c r="J21" s="8"/>
      <c r="K21" s="7" t="s">
        <v>104</v>
      </c>
      <c r="L21" s="34"/>
    </row>
    <row r="22" spans="2:12">
      <c r="B22" s="33" t="s">
        <v>124</v>
      </c>
      <c r="C22" s="34" t="s">
        <v>125</v>
      </c>
      <c r="D22" s="7">
        <v>1</v>
      </c>
      <c r="E22" s="7" t="s">
        <v>107</v>
      </c>
      <c r="F22" s="35">
        <f t="shared" si="0"/>
        <v>0</v>
      </c>
      <c r="G22" s="8"/>
      <c r="H22" s="8"/>
      <c r="I22" s="8"/>
      <c r="J22" s="8"/>
      <c r="K22" s="7" t="s">
        <v>104</v>
      </c>
      <c r="L22" s="34"/>
    </row>
    <row r="23" spans="2:12">
      <c r="B23" s="28"/>
      <c r="C23" s="29" t="s">
        <v>126</v>
      </c>
      <c r="D23" s="30">
        <f>SUMIF($E24:$E29,"&lt;&gt;N/A",$D24:$D29)</f>
        <v>6</v>
      </c>
      <c r="E23" s="28"/>
      <c r="F23" s="31" cm="1">
        <f t="array" ref="F23">IFERROR(SUMPRODUCT(($E24:$E29&lt;&gt;"N/A")*$D24:$D29,IF($E24:$E29="N/A",0,$F24:$F29))/$D23,0)</f>
        <v>8.3333333333333329E-2</v>
      </c>
      <c r="G23" s="32">
        <v>46205</v>
      </c>
      <c r="H23" s="32">
        <v>46206</v>
      </c>
      <c r="I23" s="28"/>
      <c r="J23" s="28"/>
      <c r="K23" s="2"/>
      <c r="L23" s="28"/>
    </row>
    <row r="24" spans="2:12">
      <c r="B24" s="33" t="s">
        <v>127</v>
      </c>
      <c r="C24" s="34" t="s">
        <v>128</v>
      </c>
      <c r="D24" s="7">
        <v>1</v>
      </c>
      <c r="E24" s="7" t="s">
        <v>129</v>
      </c>
      <c r="F24" s="35">
        <f t="shared" ref="F24:F29" si="1">IF($E24="N/A","",VLOOKUP($E24,AvanceTbl,2,FALSE()))</f>
        <v>0.5</v>
      </c>
      <c r="G24" s="8"/>
      <c r="H24" s="8"/>
      <c r="I24" s="8"/>
      <c r="J24" s="8"/>
      <c r="K24" s="7" t="s">
        <v>104</v>
      </c>
      <c r="L24" s="34"/>
    </row>
    <row r="25" spans="2:12">
      <c r="B25" s="33" t="s">
        <v>130</v>
      </c>
      <c r="C25" s="34" t="s">
        <v>131</v>
      </c>
      <c r="D25" s="7">
        <v>1</v>
      </c>
      <c r="E25" s="7" t="s">
        <v>107</v>
      </c>
      <c r="F25" s="35">
        <f t="shared" si="1"/>
        <v>0</v>
      </c>
      <c r="G25" s="8"/>
      <c r="H25" s="8"/>
      <c r="I25" s="8"/>
      <c r="J25" s="8"/>
      <c r="K25" s="7" t="s">
        <v>104</v>
      </c>
      <c r="L25" s="34"/>
    </row>
    <row r="26" spans="2:12">
      <c r="B26" s="33" t="s">
        <v>132</v>
      </c>
      <c r="C26" s="34" t="s">
        <v>133</v>
      </c>
      <c r="D26" s="7">
        <v>1</v>
      </c>
      <c r="E26" s="7" t="s">
        <v>107</v>
      </c>
      <c r="F26" s="35">
        <f t="shared" si="1"/>
        <v>0</v>
      </c>
      <c r="G26" s="8"/>
      <c r="H26" s="8"/>
      <c r="I26" s="8"/>
      <c r="J26" s="8"/>
      <c r="K26" s="7" t="s">
        <v>104</v>
      </c>
      <c r="L26" s="34"/>
    </row>
    <row r="27" spans="2:12">
      <c r="B27" s="33" t="s">
        <v>134</v>
      </c>
      <c r="C27" s="34" t="s">
        <v>135</v>
      </c>
      <c r="D27" s="7">
        <v>1</v>
      </c>
      <c r="E27" s="7" t="s">
        <v>107</v>
      </c>
      <c r="F27" s="35">
        <f t="shared" si="1"/>
        <v>0</v>
      </c>
      <c r="G27" s="8"/>
      <c r="H27" s="8"/>
      <c r="I27" s="8"/>
      <c r="J27" s="8"/>
      <c r="K27" s="7" t="s">
        <v>104</v>
      </c>
      <c r="L27" s="34"/>
    </row>
    <row r="28" spans="2:12">
      <c r="B28" s="33" t="s">
        <v>136</v>
      </c>
      <c r="C28" s="34" t="s">
        <v>137</v>
      </c>
      <c r="D28" s="7">
        <v>1</v>
      </c>
      <c r="E28" s="7" t="s">
        <v>107</v>
      </c>
      <c r="F28" s="35">
        <f t="shared" si="1"/>
        <v>0</v>
      </c>
      <c r="G28" s="8"/>
      <c r="H28" s="8"/>
      <c r="I28" s="8"/>
      <c r="J28" s="8"/>
      <c r="K28" s="7" t="s">
        <v>104</v>
      </c>
      <c r="L28" s="34"/>
    </row>
    <row r="29" spans="2:12">
      <c r="B29" s="33" t="s">
        <v>138</v>
      </c>
      <c r="C29" s="34" t="s">
        <v>139</v>
      </c>
      <c r="D29" s="7">
        <v>1</v>
      </c>
      <c r="E29" s="7" t="s">
        <v>107</v>
      </c>
      <c r="F29" s="35">
        <f t="shared" si="1"/>
        <v>0</v>
      </c>
      <c r="G29" s="8"/>
      <c r="H29" s="8"/>
      <c r="I29" s="8"/>
      <c r="J29" s="8"/>
      <c r="K29" s="7" t="s">
        <v>104</v>
      </c>
      <c r="L29" s="34"/>
    </row>
    <row r="30" spans="2:12">
      <c r="B30" s="28"/>
      <c r="C30" s="29" t="s">
        <v>140</v>
      </c>
      <c r="D30" s="30">
        <f>SUMIF($E31:$E36,"&lt;&gt;N/A",$D31:$D36)</f>
        <v>6</v>
      </c>
      <c r="E30" s="28"/>
      <c r="F30" s="31" cm="1">
        <f t="array" ref="F30">IFERROR(SUMPRODUCT(($E31:$E36&lt;&gt;"N/A")*$D31:$D36,IF($E31:$E36="N/A",0,$F31:$F36))/$D30,0)</f>
        <v>0</v>
      </c>
      <c r="G30" s="32">
        <v>46208</v>
      </c>
      <c r="H30" s="32">
        <v>46212</v>
      </c>
      <c r="I30" s="28"/>
      <c r="J30" s="28"/>
      <c r="K30" s="2"/>
      <c r="L30" s="28"/>
    </row>
    <row r="31" spans="2:12">
      <c r="B31" s="33" t="s">
        <v>141</v>
      </c>
      <c r="C31" s="34" t="s">
        <v>142</v>
      </c>
      <c r="D31" s="7">
        <v>1</v>
      </c>
      <c r="E31" s="7" t="s">
        <v>107</v>
      </c>
      <c r="F31" s="35">
        <f t="shared" ref="F31:F36" si="2">IF($E31="N/A","",VLOOKUP($E31,AvanceTbl,2,FALSE()))</f>
        <v>0</v>
      </c>
      <c r="G31" s="8"/>
      <c r="H31" s="8"/>
      <c r="I31" s="8"/>
      <c r="J31" s="8"/>
      <c r="K31" s="7" t="s">
        <v>104</v>
      </c>
      <c r="L31" s="34"/>
    </row>
    <row r="32" spans="2:12">
      <c r="B32" s="33" t="s">
        <v>143</v>
      </c>
      <c r="C32" s="34" t="s">
        <v>144</v>
      </c>
      <c r="D32" s="7">
        <v>1</v>
      </c>
      <c r="E32" s="7" t="s">
        <v>107</v>
      </c>
      <c r="F32" s="35">
        <f t="shared" si="2"/>
        <v>0</v>
      </c>
      <c r="G32" s="8"/>
      <c r="H32" s="8"/>
      <c r="I32" s="8"/>
      <c r="J32" s="8"/>
      <c r="K32" s="7" t="s">
        <v>104</v>
      </c>
      <c r="L32" s="34"/>
    </row>
    <row r="33" spans="2:12">
      <c r="B33" s="33" t="s">
        <v>145</v>
      </c>
      <c r="C33" s="34" t="s">
        <v>146</v>
      </c>
      <c r="D33" s="7">
        <v>1</v>
      </c>
      <c r="E33" s="7" t="s">
        <v>107</v>
      </c>
      <c r="F33" s="35">
        <f t="shared" si="2"/>
        <v>0</v>
      </c>
      <c r="G33" s="8"/>
      <c r="H33" s="8"/>
      <c r="I33" s="8"/>
      <c r="J33" s="8"/>
      <c r="K33" s="7" t="s">
        <v>104</v>
      </c>
      <c r="L33" s="34"/>
    </row>
    <row r="34" spans="2:12">
      <c r="B34" s="33" t="s">
        <v>147</v>
      </c>
      <c r="C34" s="34" t="s">
        <v>148</v>
      </c>
      <c r="D34" s="7">
        <v>1</v>
      </c>
      <c r="E34" s="7" t="s">
        <v>107</v>
      </c>
      <c r="F34" s="35">
        <f t="shared" si="2"/>
        <v>0</v>
      </c>
      <c r="G34" s="8"/>
      <c r="H34" s="8"/>
      <c r="I34" s="8"/>
      <c r="J34" s="8"/>
      <c r="K34" s="7" t="s">
        <v>104</v>
      </c>
      <c r="L34" s="34"/>
    </row>
    <row r="35" spans="2:12">
      <c r="B35" s="33" t="s">
        <v>149</v>
      </c>
      <c r="C35" s="34" t="s">
        <v>150</v>
      </c>
      <c r="D35" s="7">
        <v>1</v>
      </c>
      <c r="E35" s="7" t="s">
        <v>107</v>
      </c>
      <c r="F35" s="35">
        <f t="shared" si="2"/>
        <v>0</v>
      </c>
      <c r="G35" s="8"/>
      <c r="H35" s="8"/>
      <c r="I35" s="8"/>
      <c r="J35" s="8"/>
      <c r="K35" s="7" t="s">
        <v>104</v>
      </c>
      <c r="L35" s="34"/>
    </row>
    <row r="36" spans="2:12">
      <c r="B36" s="33" t="s">
        <v>151</v>
      </c>
      <c r="C36" s="34" t="s">
        <v>152</v>
      </c>
      <c r="D36" s="7">
        <v>1</v>
      </c>
      <c r="E36" s="7" t="s">
        <v>107</v>
      </c>
      <c r="F36" s="35">
        <f t="shared" si="2"/>
        <v>0</v>
      </c>
      <c r="G36" s="8"/>
      <c r="H36" s="8"/>
      <c r="I36" s="8"/>
      <c r="J36" s="8"/>
      <c r="K36" s="7" t="s">
        <v>104</v>
      </c>
      <c r="L36" s="34"/>
    </row>
    <row r="37" spans="2:12">
      <c r="B37" s="28"/>
      <c r="C37" s="29" t="s">
        <v>153</v>
      </c>
      <c r="D37" s="30">
        <f>SUMIF($E38:$E42,"&lt;&gt;N/A",$D38:$D42)</f>
        <v>5</v>
      </c>
      <c r="E37" s="28"/>
      <c r="F37" s="31" cm="1">
        <f t="array" ref="F37">IFERROR(SUMPRODUCT(($E38:$E42&lt;&gt;"N/A")*$D38:$D42,IF($E38:$E42="N/A",0,$F38:$F42))/$D37,0)</f>
        <v>0</v>
      </c>
      <c r="G37" s="32">
        <v>46213</v>
      </c>
      <c r="H37" s="32">
        <v>46213</v>
      </c>
      <c r="I37" s="28"/>
      <c r="J37" s="28"/>
      <c r="K37" s="2"/>
      <c r="L37" s="28"/>
    </row>
    <row r="38" spans="2:12">
      <c r="B38" s="33" t="s">
        <v>154</v>
      </c>
      <c r="C38" s="34" t="s">
        <v>155</v>
      </c>
      <c r="D38" s="7">
        <v>1</v>
      </c>
      <c r="E38" s="7" t="s">
        <v>107</v>
      </c>
      <c r="F38" s="35">
        <f>IF($E38="N/A","",VLOOKUP($E38,AvanceTbl,2,FALSE()))</f>
        <v>0</v>
      </c>
      <c r="G38" s="8"/>
      <c r="H38" s="8"/>
      <c r="I38" s="8"/>
      <c r="J38" s="8"/>
      <c r="K38" s="7" t="s">
        <v>104</v>
      </c>
      <c r="L38" s="34"/>
    </row>
    <row r="39" spans="2:12">
      <c r="B39" s="33" t="s">
        <v>156</v>
      </c>
      <c r="C39" s="34" t="s">
        <v>157</v>
      </c>
      <c r="D39" s="7">
        <v>1</v>
      </c>
      <c r="E39" s="7" t="s">
        <v>107</v>
      </c>
      <c r="F39" s="35">
        <f>IF($E39="N/A","",VLOOKUP($E39,AvanceTbl,2,FALSE()))</f>
        <v>0</v>
      </c>
      <c r="G39" s="8"/>
      <c r="H39" s="8"/>
      <c r="I39" s="8"/>
      <c r="J39" s="8"/>
      <c r="K39" s="7" t="s">
        <v>104</v>
      </c>
      <c r="L39" s="34"/>
    </row>
    <row r="40" spans="2:12">
      <c r="B40" s="33" t="s">
        <v>158</v>
      </c>
      <c r="C40" s="34" t="s">
        <v>159</v>
      </c>
      <c r="D40" s="7">
        <v>1</v>
      </c>
      <c r="E40" s="7" t="s">
        <v>107</v>
      </c>
      <c r="F40" s="35">
        <f>IF($E40="N/A","",VLOOKUP($E40,AvanceTbl,2,FALSE()))</f>
        <v>0</v>
      </c>
      <c r="G40" s="8"/>
      <c r="H40" s="8"/>
      <c r="I40" s="8"/>
      <c r="J40" s="8"/>
      <c r="K40" s="7" t="s">
        <v>104</v>
      </c>
      <c r="L40" s="34"/>
    </row>
    <row r="41" spans="2:12">
      <c r="B41" s="33" t="s">
        <v>160</v>
      </c>
      <c r="C41" s="34" t="s">
        <v>161</v>
      </c>
      <c r="D41" s="7">
        <v>1</v>
      </c>
      <c r="E41" s="7" t="s">
        <v>107</v>
      </c>
      <c r="F41" s="35">
        <f>IF($E41="N/A","",VLOOKUP($E41,AvanceTbl,2,FALSE()))</f>
        <v>0</v>
      </c>
      <c r="G41" s="8"/>
      <c r="H41" s="8"/>
      <c r="I41" s="8"/>
      <c r="J41" s="8"/>
      <c r="K41" s="7" t="s">
        <v>104</v>
      </c>
      <c r="L41" s="34"/>
    </row>
    <row r="42" spans="2:12">
      <c r="B42" s="33" t="s">
        <v>162</v>
      </c>
      <c r="C42" s="34" t="s">
        <v>163</v>
      </c>
      <c r="D42" s="7">
        <v>1</v>
      </c>
      <c r="E42" s="7" t="s">
        <v>107</v>
      </c>
      <c r="F42" s="35">
        <f>IF($E42="N/A","",VLOOKUP($E42,AvanceTbl,2,FALSE()))</f>
        <v>0</v>
      </c>
      <c r="G42" s="8"/>
      <c r="H42" s="8"/>
      <c r="I42" s="8"/>
      <c r="J42" s="8"/>
      <c r="K42" s="7" t="s">
        <v>101</v>
      </c>
      <c r="L42" s="34"/>
    </row>
    <row r="43" spans="2:12">
      <c r="B43" s="28"/>
      <c r="C43" s="29" t="s">
        <v>164</v>
      </c>
      <c r="D43" s="30">
        <f>SUMIF($E44:$E46,"&lt;&gt;N/A",$D44:$D46)</f>
        <v>3</v>
      </c>
      <c r="E43" s="28"/>
      <c r="F43" s="31" cm="1">
        <f t="array" ref="F43">IFERROR(SUMPRODUCT(($E44:$E46&lt;&gt;"N/A")*$D44:$D46,IF($E44:$E46="N/A",0,$F44:$F46))/$D43,0)</f>
        <v>0</v>
      </c>
      <c r="G43" s="32">
        <v>46213</v>
      </c>
      <c r="H43" s="32">
        <v>46213</v>
      </c>
      <c r="I43" s="28"/>
      <c r="J43" s="28"/>
      <c r="K43" s="2"/>
      <c r="L43" s="28"/>
    </row>
    <row r="44" spans="2:12">
      <c r="B44" s="33" t="s">
        <v>165</v>
      </c>
      <c r="C44" s="34" t="s">
        <v>166</v>
      </c>
      <c r="D44" s="7">
        <v>1</v>
      </c>
      <c r="E44" s="7" t="s">
        <v>107</v>
      </c>
      <c r="F44" s="35">
        <f>IF($E44="N/A","",VLOOKUP($E44,AvanceTbl,2,FALSE()))</f>
        <v>0</v>
      </c>
      <c r="G44" s="8"/>
      <c r="H44" s="8"/>
      <c r="I44" s="8"/>
      <c r="J44" s="8"/>
      <c r="K44" s="7" t="s">
        <v>104</v>
      </c>
      <c r="L44" s="34"/>
    </row>
    <row r="45" spans="2:12">
      <c r="B45" s="33" t="s">
        <v>167</v>
      </c>
      <c r="C45" s="34" t="s">
        <v>168</v>
      </c>
      <c r="D45" s="7">
        <v>1</v>
      </c>
      <c r="E45" s="7" t="s">
        <v>107</v>
      </c>
      <c r="F45" s="35">
        <f>IF($E45="N/A","",VLOOKUP($E45,AvanceTbl,2,FALSE()))</f>
        <v>0</v>
      </c>
      <c r="G45" s="8"/>
      <c r="H45" s="8"/>
      <c r="I45" s="8"/>
      <c r="J45" s="8"/>
      <c r="K45" s="7" t="s">
        <v>101</v>
      </c>
      <c r="L45" s="34"/>
    </row>
    <row r="46" spans="2:12">
      <c r="B46" s="33" t="s">
        <v>169</v>
      </c>
      <c r="C46" s="34" t="s">
        <v>170</v>
      </c>
      <c r="D46" s="7">
        <v>1</v>
      </c>
      <c r="E46" s="7" t="s">
        <v>107</v>
      </c>
      <c r="F46" s="35">
        <f>IF($E46="N/A","",VLOOKUP($E46,AvanceTbl,2,FALSE()))</f>
        <v>0</v>
      </c>
      <c r="G46" s="8"/>
      <c r="H46" s="8"/>
      <c r="I46" s="8"/>
      <c r="J46" s="8"/>
      <c r="K46" s="7" t="s">
        <v>101</v>
      </c>
      <c r="L46" s="34"/>
    </row>
    <row r="47" spans="2:12">
      <c r="B47" s="28"/>
      <c r="C47" s="29" t="s">
        <v>171</v>
      </c>
      <c r="D47" s="30">
        <f>SUMIF($E48:$E51,"&lt;&gt;N/A",$D48:$D51)</f>
        <v>4</v>
      </c>
      <c r="E47" s="28"/>
      <c r="F47" s="31" cm="1">
        <f t="array" ref="F47">IFERROR(SUMPRODUCT(($E48:$E51&lt;&gt;"N/A")*$D48:$D51,IF($E48:$E51="N/A",0,$F48:$F51))/$D47,0)</f>
        <v>0</v>
      </c>
      <c r="G47" s="32">
        <v>46216</v>
      </c>
      <c r="H47" s="32">
        <v>46217</v>
      </c>
      <c r="I47" s="28"/>
      <c r="J47" s="28"/>
      <c r="K47" s="2"/>
      <c r="L47" s="28"/>
    </row>
    <row r="48" spans="2:12">
      <c r="B48" s="33" t="s">
        <v>172</v>
      </c>
      <c r="C48" s="34" t="s">
        <v>173</v>
      </c>
      <c r="D48" s="7">
        <v>1</v>
      </c>
      <c r="E48" s="7" t="s">
        <v>107</v>
      </c>
      <c r="F48" s="35">
        <f>IF($E48="N/A","",VLOOKUP($E48,AvanceTbl,2,FALSE()))</f>
        <v>0</v>
      </c>
      <c r="G48" s="8"/>
      <c r="H48" s="8"/>
      <c r="I48" s="8"/>
      <c r="J48" s="8"/>
      <c r="K48" s="7" t="s">
        <v>104</v>
      </c>
      <c r="L48" s="34"/>
    </row>
    <row r="49" spans="2:12" ht="26.45">
      <c r="B49" s="33" t="s">
        <v>174</v>
      </c>
      <c r="C49" s="34" t="s">
        <v>175</v>
      </c>
      <c r="D49" s="7">
        <v>1</v>
      </c>
      <c r="E49" s="7" t="s">
        <v>107</v>
      </c>
      <c r="F49" s="35">
        <f>IF($E49="N/A","",VLOOKUP($E49,AvanceTbl,2,FALSE()))</f>
        <v>0</v>
      </c>
      <c r="G49" s="8"/>
      <c r="H49" s="8"/>
      <c r="I49" s="8"/>
      <c r="J49" s="8"/>
      <c r="K49" s="7" t="s">
        <v>104</v>
      </c>
      <c r="L49" s="34"/>
    </row>
    <row r="50" spans="2:12">
      <c r="B50" s="33" t="s">
        <v>176</v>
      </c>
      <c r="C50" s="34" t="s">
        <v>177</v>
      </c>
      <c r="D50" s="7">
        <v>1</v>
      </c>
      <c r="E50" s="7" t="s">
        <v>107</v>
      </c>
      <c r="F50" s="35">
        <f>IF($E50="N/A","",VLOOKUP($E50,AvanceTbl,2,FALSE()))</f>
        <v>0</v>
      </c>
      <c r="G50" s="8"/>
      <c r="H50" s="8"/>
      <c r="I50" s="8"/>
      <c r="J50" s="8"/>
      <c r="K50" s="7" t="s">
        <v>104</v>
      </c>
      <c r="L50" s="34"/>
    </row>
    <row r="51" spans="2:12">
      <c r="B51" s="33" t="s">
        <v>178</v>
      </c>
      <c r="C51" s="34" t="s">
        <v>179</v>
      </c>
      <c r="D51" s="7">
        <v>1</v>
      </c>
      <c r="E51" s="7" t="s">
        <v>107</v>
      </c>
      <c r="F51" s="35">
        <f>IF($E51="N/A","",VLOOKUP($E51,AvanceTbl,2,FALSE()))</f>
        <v>0</v>
      </c>
      <c r="G51" s="8"/>
      <c r="H51" s="8"/>
      <c r="I51" s="8"/>
      <c r="J51" s="8"/>
      <c r="K51" s="7" t="s">
        <v>101</v>
      </c>
      <c r="L51" s="34"/>
    </row>
    <row r="52" spans="2:12">
      <c r="B52" s="28"/>
      <c r="C52" s="29" t="s">
        <v>180</v>
      </c>
      <c r="D52" s="30">
        <f>SUMIF($E53:$E56,"&lt;&gt;N/A",$D53:$D56)</f>
        <v>4</v>
      </c>
      <c r="E52" s="28"/>
      <c r="F52" s="31" cm="1">
        <f t="array" ref="F52">IFERROR(SUMPRODUCT(($E53:$E56&lt;&gt;"N/A")*$D53:$D56,IF($E53:$E56="N/A",0,$F53:$F56))/$D52,0)</f>
        <v>0</v>
      </c>
      <c r="G52" s="32">
        <v>46217</v>
      </c>
      <c r="H52" s="32">
        <v>46217</v>
      </c>
      <c r="I52" s="28"/>
      <c r="J52" s="28"/>
      <c r="K52" s="2"/>
      <c r="L52" s="28"/>
    </row>
    <row r="53" spans="2:12">
      <c r="B53" s="33" t="s">
        <v>181</v>
      </c>
      <c r="C53" s="34" t="s">
        <v>182</v>
      </c>
      <c r="D53" s="7">
        <v>1</v>
      </c>
      <c r="E53" s="7" t="s">
        <v>107</v>
      </c>
      <c r="F53" s="35">
        <f>IF($E53="N/A","",VLOOKUP($E53,AvanceTbl,2,FALSE()))</f>
        <v>0</v>
      </c>
      <c r="G53" s="8"/>
      <c r="H53" s="8"/>
      <c r="I53" s="8"/>
      <c r="J53" s="8"/>
      <c r="K53" s="7" t="s">
        <v>101</v>
      </c>
      <c r="L53" s="34"/>
    </row>
    <row r="54" spans="2:12">
      <c r="B54" s="33" t="s">
        <v>183</v>
      </c>
      <c r="C54" s="34" t="s">
        <v>184</v>
      </c>
      <c r="D54" s="7">
        <v>1</v>
      </c>
      <c r="E54" s="7" t="s">
        <v>107</v>
      </c>
      <c r="F54" s="35">
        <f>IF($E54="N/A","",VLOOKUP($E54,AvanceTbl,2,FALSE()))</f>
        <v>0</v>
      </c>
      <c r="G54" s="8"/>
      <c r="H54" s="8"/>
      <c r="I54" s="8"/>
      <c r="J54" s="8"/>
      <c r="K54" s="7" t="s">
        <v>101</v>
      </c>
      <c r="L54" s="34"/>
    </row>
    <row r="55" spans="2:12">
      <c r="B55" s="33" t="s">
        <v>185</v>
      </c>
      <c r="C55" s="34" t="s">
        <v>186</v>
      </c>
      <c r="D55" s="7">
        <v>1</v>
      </c>
      <c r="E55" s="7" t="s">
        <v>107</v>
      </c>
      <c r="F55" s="35">
        <f>IF($E55="N/A","",VLOOKUP($E55,AvanceTbl,2,FALSE()))</f>
        <v>0</v>
      </c>
      <c r="G55" s="8"/>
      <c r="H55" s="8"/>
      <c r="I55" s="8"/>
      <c r="J55" s="8"/>
      <c r="K55" s="7" t="s">
        <v>101</v>
      </c>
      <c r="L55" s="34"/>
    </row>
    <row r="56" spans="2:12">
      <c r="B56" s="33" t="s">
        <v>187</v>
      </c>
      <c r="C56" s="34" t="s">
        <v>188</v>
      </c>
      <c r="D56" s="7">
        <v>1</v>
      </c>
      <c r="E56" s="7" t="s">
        <v>107</v>
      </c>
      <c r="F56" s="35">
        <f>IF($E56="N/A","",VLOOKUP($E56,AvanceTbl,2,FALSE()))</f>
        <v>0</v>
      </c>
      <c r="G56" s="8"/>
      <c r="H56" s="8"/>
      <c r="I56" s="8"/>
      <c r="J56" s="8"/>
      <c r="K56" s="7" t="s">
        <v>189</v>
      </c>
      <c r="L56" s="34"/>
    </row>
  </sheetData>
  <mergeCells count="8">
    <mergeCell ref="B7:F7"/>
    <mergeCell ref="G7:L7"/>
    <mergeCell ref="B2:L2"/>
    <mergeCell ref="C5:E5"/>
    <mergeCell ref="G4:H4"/>
    <mergeCell ref="J4:L4"/>
    <mergeCell ref="G5:H5"/>
    <mergeCell ref="J5:L5"/>
  </mergeCells>
  <conditionalFormatting sqref="E10:E56">
    <cfRule type="cellIs" dxfId="63" priority="2" operator="equal">
      <formula>"Completado"</formula>
    </cfRule>
    <cfRule type="cellIs" dxfId="62" priority="3" operator="equal">
      <formula>"En proceso"</formula>
    </cfRule>
    <cfRule type="cellIs" dxfId="61" priority="4" operator="equal">
      <formula>"Pendiente"</formula>
    </cfRule>
  </conditionalFormatting>
  <conditionalFormatting sqref="F10:F56">
    <cfRule type="dataBar" priority="5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{983A2972-7094-45F0-ADD9-6096C33C90BB}</x14:id>
        </ext>
      </extLst>
    </cfRule>
  </conditionalFormatting>
  <conditionalFormatting sqref="G11:G15">
    <cfRule type="expression" dxfId="60" priority="6">
      <formula>AND($G11&lt;&gt;"",$G11&lt;TODAY(),$E11&lt;&gt;"Completado",$E11&lt;&gt;"N/A")</formula>
    </cfRule>
  </conditionalFormatting>
  <conditionalFormatting sqref="G17:G22">
    <cfRule type="expression" dxfId="59" priority="11">
      <formula>AND($G17&lt;&gt;"",$G17&lt;TODAY(),$E17&lt;&gt;"Completado",$E17&lt;&gt;"N/A")</formula>
    </cfRule>
  </conditionalFormatting>
  <conditionalFormatting sqref="G24:G29">
    <cfRule type="expression" dxfId="58" priority="17">
      <formula>AND($G24&lt;&gt;"",$G24&lt;TODAY(),$E24&lt;&gt;"Completado",$E24&lt;&gt;"N/A")</formula>
    </cfRule>
  </conditionalFormatting>
  <conditionalFormatting sqref="G31:G36">
    <cfRule type="expression" dxfId="57" priority="23">
      <formula>AND($G31&lt;&gt;"",$G31&lt;TODAY(),$E31&lt;&gt;"Completado",$E31&lt;&gt;"N/A")</formula>
    </cfRule>
  </conditionalFormatting>
  <conditionalFormatting sqref="G38:G42">
    <cfRule type="expression" dxfId="56" priority="29">
      <formula>AND($G38&lt;&gt;"",$G38&lt;TODAY(),$E38&lt;&gt;"Completado",$E38&lt;&gt;"N/A")</formula>
    </cfRule>
  </conditionalFormatting>
  <conditionalFormatting sqref="G44:G46">
    <cfRule type="expression" dxfId="55" priority="34">
      <formula>AND($G44&lt;&gt;"",$G44&lt;TODAY(),$E44&lt;&gt;"Completado",$E44&lt;&gt;"N/A")</formula>
    </cfRule>
  </conditionalFormatting>
  <conditionalFormatting sqref="G48:G51">
    <cfRule type="expression" dxfId="54" priority="37">
      <formula>AND($G48&lt;&gt;"",$G48&lt;TODAY(),$E48&lt;&gt;"Completado",$E48&lt;&gt;"N/A")</formula>
    </cfRule>
  </conditionalFormatting>
  <conditionalFormatting sqref="G53:G56">
    <cfRule type="expression" dxfId="53" priority="41">
      <formula>AND($G53&lt;&gt;"",$G53&lt;TODAY(),$E53&lt;&gt;"Completado",$E53&lt;&gt;"N/A")</formula>
    </cfRule>
  </conditionalFormatting>
  <dataValidations count="1">
    <dataValidation type="list" allowBlank="1" sqref="E11:E15 E17:E22 E24:E29 E31:E36 E38:E42 E44:E46 E48:E51 E53:E56" xr:uid="{00000000-0002-0000-0700-000000000000}">
      <formula1>EstadoList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83A2972-7094-45F0-ADD9-6096C33C90BB}">
            <x14:dataBar axisPosition="none">
              <x14:cfvo type="num">
                <xm:f>0</xm:f>
              </x14:cfvo>
              <x14:cfvo type="num">
                <xm:f>1</xm:f>
              </x14:cfvo>
              <x14:negativeFillColor rgb="FF63C384"/>
            </x14:dataBar>
          </x14:cfRule>
          <xm:sqref>F10:F56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E5496"/>
  </sheetPr>
  <dimension ref="B2:L56"/>
  <sheetViews>
    <sheetView showGridLines="0" zoomScaleNormal="100" workbookViewId="0">
      <pane xSplit="6" ySplit="9" topLeftCell="G10" activePane="bottomRight" state="frozen"/>
      <selection pane="bottomRight" activeCell="E20" sqref="E20"/>
      <selection pane="bottomLeft" activeCell="A10" sqref="A10"/>
      <selection pane="topRight" activeCell="G1" sqref="G1"/>
    </sheetView>
  </sheetViews>
  <sheetFormatPr defaultColWidth="8.7109375" defaultRowHeight="14.45"/>
  <cols>
    <col min="1" max="1" width="2" customWidth="1"/>
    <col min="2" max="2" width="6" customWidth="1"/>
    <col min="3" max="3" width="50" customWidth="1"/>
    <col min="4" max="4" width="7" customWidth="1"/>
    <col min="5" max="5" width="13" customWidth="1"/>
    <col min="6" max="6" width="9" customWidth="1"/>
    <col min="7" max="10" width="12" customWidth="1"/>
    <col min="11" max="11" width="15" customWidth="1"/>
    <col min="12" max="12" width="30" customWidth="1"/>
  </cols>
  <sheetData>
    <row r="2" spans="2:12" ht="17.45">
      <c r="B2" s="47" t="s">
        <v>193</v>
      </c>
      <c r="C2" s="47"/>
      <c r="D2" s="47"/>
      <c r="E2" s="47"/>
      <c r="F2" s="47"/>
      <c r="G2" s="47"/>
      <c r="H2" s="47"/>
      <c r="I2" s="47"/>
      <c r="J2" s="47"/>
      <c r="K2" s="47"/>
      <c r="L2" s="47"/>
    </row>
    <row r="4" spans="2:12">
      <c r="B4" s="27" t="s">
        <v>80</v>
      </c>
      <c r="C4" s="48"/>
      <c r="D4" s="48"/>
      <c r="E4" s="48"/>
      <c r="F4" s="27" t="s">
        <v>81</v>
      </c>
      <c r="G4" s="48" t="s">
        <v>12</v>
      </c>
      <c r="H4" s="48"/>
      <c r="I4" s="27" t="s">
        <v>82</v>
      </c>
      <c r="J4" s="48"/>
      <c r="K4" s="48"/>
      <c r="L4" s="48"/>
    </row>
    <row r="5" spans="2:12">
      <c r="B5" s="27" t="s">
        <v>83</v>
      </c>
      <c r="C5" s="48"/>
      <c r="D5" s="48"/>
      <c r="E5" s="48"/>
      <c r="F5" s="27" t="s">
        <v>84</v>
      </c>
      <c r="G5" s="48"/>
      <c r="H5" s="48"/>
      <c r="I5" s="27" t="s">
        <v>85</v>
      </c>
      <c r="J5" s="48"/>
      <c r="K5" s="48"/>
      <c r="L5" s="48"/>
    </row>
    <row r="7" spans="2:12" ht="21">
      <c r="B7" s="45" t="s">
        <v>86</v>
      </c>
      <c r="C7" s="45"/>
      <c r="D7" s="45"/>
      <c r="E7" s="45"/>
      <c r="F7" s="45"/>
      <c r="G7" s="46">
        <f>IFERROR(($D10*$F10+$D16*$F16+$D23*$F23+$D30*$F30+$D37*$F37+$D43*$F43+$D47*$F47+$D52*$F52)/($D10+$D16+$D23+$D30+$D37+$D43+$D47+$D52),0)</f>
        <v>0.11842105263157894</v>
      </c>
      <c r="H7" s="46"/>
      <c r="I7" s="46"/>
      <c r="J7" s="46"/>
      <c r="K7" s="46"/>
      <c r="L7" s="46"/>
    </row>
    <row r="9" spans="2:12">
      <c r="B9" s="4" t="s">
        <v>87</v>
      </c>
      <c r="C9" s="4" t="s">
        <v>88</v>
      </c>
      <c r="D9" s="4" t="s">
        <v>89</v>
      </c>
      <c r="E9" s="4" t="s">
        <v>90</v>
      </c>
      <c r="F9" s="4" t="s">
        <v>91</v>
      </c>
      <c r="G9" s="4" t="s">
        <v>5</v>
      </c>
      <c r="H9" s="4" t="s">
        <v>92</v>
      </c>
      <c r="I9" s="4" t="s">
        <v>93</v>
      </c>
      <c r="J9" s="4" t="s">
        <v>94</v>
      </c>
      <c r="K9" s="4" t="s">
        <v>95</v>
      </c>
      <c r="L9" s="4" t="s">
        <v>96</v>
      </c>
    </row>
    <row r="10" spans="2:12">
      <c r="B10" s="28"/>
      <c r="C10" s="29" t="s">
        <v>97</v>
      </c>
      <c r="D10" s="30">
        <f>SUMIF($E11:$E15,"&lt;&gt;N/A",$D11:$D15)</f>
        <v>5</v>
      </c>
      <c r="E10" s="28"/>
      <c r="F10" s="31" cm="1">
        <f t="array" ref="F10">IFERROR(SUMPRODUCT(($E11:$E15&lt;&gt;"N/A")*$D11:$D15,IF($E11:$E15="N/A",0,$F11:$F15))/$D10,0)</f>
        <v>0.4</v>
      </c>
      <c r="G10" s="32">
        <v>46202</v>
      </c>
      <c r="H10" s="32">
        <v>46205</v>
      </c>
      <c r="I10" s="28"/>
      <c r="J10" s="28"/>
      <c r="K10" s="28"/>
      <c r="L10" s="28"/>
    </row>
    <row r="11" spans="2:12" ht="26.45">
      <c r="B11" s="33" t="s">
        <v>98</v>
      </c>
      <c r="C11" s="34" t="s">
        <v>99</v>
      </c>
      <c r="D11" s="7">
        <v>1</v>
      </c>
      <c r="E11" s="7" t="s">
        <v>100</v>
      </c>
      <c r="F11" s="35">
        <f>IF($E11="N/A","",VLOOKUP($E11,AvanceTbl,2,FALSE()))</f>
        <v>1</v>
      </c>
      <c r="G11" s="8"/>
      <c r="H11" s="8"/>
      <c r="I11" s="8"/>
      <c r="J11" s="8"/>
      <c r="K11" s="7" t="s">
        <v>101</v>
      </c>
      <c r="L11" s="34"/>
    </row>
    <row r="12" spans="2:12">
      <c r="B12" s="33" t="s">
        <v>102</v>
      </c>
      <c r="C12" s="34" t="s">
        <v>103</v>
      </c>
      <c r="D12" s="7">
        <v>1</v>
      </c>
      <c r="E12" s="7" t="s">
        <v>100</v>
      </c>
      <c r="F12" s="35">
        <f>IF($E12="N/A","",VLOOKUP($E12,AvanceTbl,2,FALSE()))</f>
        <v>1</v>
      </c>
      <c r="G12" s="8"/>
      <c r="H12" s="8"/>
      <c r="I12" s="8"/>
      <c r="J12" s="8"/>
      <c r="K12" s="7" t="s">
        <v>104</v>
      </c>
      <c r="L12" s="34"/>
    </row>
    <row r="13" spans="2:12">
      <c r="B13" s="33" t="s">
        <v>105</v>
      </c>
      <c r="C13" s="34" t="s">
        <v>106</v>
      </c>
      <c r="D13" s="7">
        <v>1</v>
      </c>
      <c r="E13" s="7" t="s">
        <v>107</v>
      </c>
      <c r="F13" s="35">
        <f>IF($E13="N/A","",VLOOKUP($E13,AvanceTbl,2,FALSE()))</f>
        <v>0</v>
      </c>
      <c r="G13" s="8"/>
      <c r="H13" s="8"/>
      <c r="I13" s="8"/>
      <c r="J13" s="8"/>
      <c r="K13" s="7" t="s">
        <v>104</v>
      </c>
      <c r="L13" s="34"/>
    </row>
    <row r="14" spans="2:12">
      <c r="B14" s="33" t="s">
        <v>108</v>
      </c>
      <c r="C14" s="34" t="s">
        <v>109</v>
      </c>
      <c r="D14" s="7">
        <v>1</v>
      </c>
      <c r="E14" s="7" t="s">
        <v>107</v>
      </c>
      <c r="F14" s="35">
        <f>IF($E14="N/A","",VLOOKUP($E14,AvanceTbl,2,FALSE()))</f>
        <v>0</v>
      </c>
      <c r="G14" s="8"/>
      <c r="H14" s="8"/>
      <c r="I14" s="8"/>
      <c r="J14" s="8"/>
      <c r="K14" s="7" t="s">
        <v>104</v>
      </c>
      <c r="L14" s="34"/>
    </row>
    <row r="15" spans="2:12">
      <c r="B15" s="33" t="s">
        <v>110</v>
      </c>
      <c r="C15" s="34" t="s">
        <v>111</v>
      </c>
      <c r="D15" s="7">
        <v>1</v>
      </c>
      <c r="E15" s="7" t="s">
        <v>107</v>
      </c>
      <c r="F15" s="35">
        <f>IF($E15="N/A","",VLOOKUP($E15,AvanceTbl,2,FALSE()))</f>
        <v>0</v>
      </c>
      <c r="G15" s="8"/>
      <c r="H15" s="8"/>
      <c r="I15" s="8"/>
      <c r="J15" s="8"/>
      <c r="K15" s="7" t="s">
        <v>101</v>
      </c>
      <c r="L15" s="34"/>
    </row>
    <row r="16" spans="2:12">
      <c r="B16" s="28"/>
      <c r="C16" s="29" t="s">
        <v>112</v>
      </c>
      <c r="D16" s="30">
        <f>SUMIF($E17:$E22,"&lt;&gt;N/A",$D17:$D22)</f>
        <v>5</v>
      </c>
      <c r="E16" s="28"/>
      <c r="F16" s="31" cm="1">
        <f t="array" ref="F16">IFERROR(SUMPRODUCT(($E17:$E22&lt;&gt;"N/A")*$D17:$D22,IF($E17:$E22="N/A",0,$F17:$F22))/$D16,0)</f>
        <v>0.4</v>
      </c>
      <c r="G16" s="32">
        <v>46208</v>
      </c>
      <c r="H16" s="32">
        <v>46213</v>
      </c>
      <c r="I16" s="28"/>
      <c r="J16" s="28"/>
      <c r="K16" s="2"/>
      <c r="L16" s="28"/>
    </row>
    <row r="17" spans="2:12" ht="26.45">
      <c r="B17" s="33" t="s">
        <v>113</v>
      </c>
      <c r="C17" s="34" t="s">
        <v>114</v>
      </c>
      <c r="D17" s="7">
        <v>1</v>
      </c>
      <c r="E17" s="7" t="s">
        <v>100</v>
      </c>
      <c r="F17" s="35">
        <f t="shared" ref="F17:F22" si="0">IF($E17="N/A","",VLOOKUP($E17,AvanceTbl,2,FALSE()))</f>
        <v>1</v>
      </c>
      <c r="G17" s="8"/>
      <c r="H17" s="8"/>
      <c r="I17" s="8"/>
      <c r="J17" s="8"/>
      <c r="K17" s="7" t="s">
        <v>101</v>
      </c>
      <c r="L17" s="34"/>
    </row>
    <row r="18" spans="2:12">
      <c r="B18" s="33" t="s">
        <v>115</v>
      </c>
      <c r="C18" s="34" t="s">
        <v>116</v>
      </c>
      <c r="D18" s="7">
        <v>1</v>
      </c>
      <c r="E18" s="7" t="s">
        <v>100</v>
      </c>
      <c r="F18" s="35">
        <f t="shared" si="0"/>
        <v>1</v>
      </c>
      <c r="G18" s="8"/>
      <c r="H18" s="8"/>
      <c r="I18" s="8"/>
      <c r="J18" s="8"/>
      <c r="K18" s="7" t="s">
        <v>104</v>
      </c>
      <c r="L18" s="34"/>
    </row>
    <row r="19" spans="2:12">
      <c r="B19" s="33" t="s">
        <v>117</v>
      </c>
      <c r="C19" s="34" t="s">
        <v>118</v>
      </c>
      <c r="D19" s="7">
        <v>1</v>
      </c>
      <c r="E19" s="7" t="s">
        <v>107</v>
      </c>
      <c r="F19" s="35">
        <f t="shared" si="0"/>
        <v>0</v>
      </c>
      <c r="G19" s="8"/>
      <c r="H19" s="8"/>
      <c r="I19" s="8"/>
      <c r="J19" s="8"/>
      <c r="K19" s="7" t="s">
        <v>104</v>
      </c>
      <c r="L19" s="34"/>
    </row>
    <row r="20" spans="2:12">
      <c r="B20" s="33" t="s">
        <v>119</v>
      </c>
      <c r="C20" s="34" t="s">
        <v>120</v>
      </c>
      <c r="D20" s="7">
        <v>1</v>
      </c>
      <c r="E20" s="7" t="s">
        <v>121</v>
      </c>
      <c r="F20" s="35" t="str">
        <f t="shared" si="0"/>
        <v/>
      </c>
      <c r="G20" s="8"/>
      <c r="H20" s="8"/>
      <c r="I20" s="8"/>
      <c r="J20" s="8"/>
      <c r="K20" s="7" t="s">
        <v>104</v>
      </c>
      <c r="L20" s="34"/>
    </row>
    <row r="21" spans="2:12">
      <c r="B21" s="33" t="s">
        <v>122</v>
      </c>
      <c r="C21" s="34" t="s">
        <v>123</v>
      </c>
      <c r="D21" s="7">
        <v>1</v>
      </c>
      <c r="E21" s="7" t="s">
        <v>107</v>
      </c>
      <c r="F21" s="35">
        <f t="shared" si="0"/>
        <v>0</v>
      </c>
      <c r="G21" s="8"/>
      <c r="H21" s="8"/>
      <c r="I21" s="8"/>
      <c r="J21" s="8"/>
      <c r="K21" s="7" t="s">
        <v>104</v>
      </c>
      <c r="L21" s="34"/>
    </row>
    <row r="22" spans="2:12">
      <c r="B22" s="33" t="s">
        <v>124</v>
      </c>
      <c r="C22" s="34" t="s">
        <v>125</v>
      </c>
      <c r="D22" s="7">
        <v>1</v>
      </c>
      <c r="E22" s="7" t="s">
        <v>107</v>
      </c>
      <c r="F22" s="35">
        <f t="shared" si="0"/>
        <v>0</v>
      </c>
      <c r="G22" s="8"/>
      <c r="H22" s="8"/>
      <c r="I22" s="8"/>
      <c r="J22" s="8"/>
      <c r="K22" s="7" t="s">
        <v>104</v>
      </c>
      <c r="L22" s="34"/>
    </row>
    <row r="23" spans="2:12">
      <c r="B23" s="28"/>
      <c r="C23" s="29" t="s">
        <v>126</v>
      </c>
      <c r="D23" s="30">
        <f>SUMIF($E24:$E29,"&lt;&gt;N/A",$D24:$D29)</f>
        <v>6</v>
      </c>
      <c r="E23" s="28"/>
      <c r="F23" s="31" cm="1">
        <f t="array" ref="F23">IFERROR(SUMPRODUCT(($E24:$E29&lt;&gt;"N/A")*$D24:$D29,IF($E24:$E29="N/A",0,$F24:$F29))/$D23,0)</f>
        <v>8.3333333333333329E-2</v>
      </c>
      <c r="G23" s="32">
        <v>46208</v>
      </c>
      <c r="H23" s="32">
        <v>46213</v>
      </c>
      <c r="I23" s="28"/>
      <c r="J23" s="28"/>
      <c r="K23" s="2"/>
      <c r="L23" s="28"/>
    </row>
    <row r="24" spans="2:12">
      <c r="B24" s="33" t="s">
        <v>127</v>
      </c>
      <c r="C24" s="34" t="s">
        <v>128</v>
      </c>
      <c r="D24" s="7">
        <v>1</v>
      </c>
      <c r="E24" s="7" t="s">
        <v>129</v>
      </c>
      <c r="F24" s="35">
        <f t="shared" ref="F24:F29" si="1">IF($E24="N/A","",VLOOKUP($E24,AvanceTbl,2,FALSE()))</f>
        <v>0.5</v>
      </c>
      <c r="G24" s="8"/>
      <c r="H24" s="8"/>
      <c r="I24" s="8"/>
      <c r="J24" s="8"/>
      <c r="K24" s="7" t="s">
        <v>104</v>
      </c>
      <c r="L24" s="34"/>
    </row>
    <row r="25" spans="2:12">
      <c r="B25" s="33" t="s">
        <v>130</v>
      </c>
      <c r="C25" s="34" t="s">
        <v>131</v>
      </c>
      <c r="D25" s="7">
        <v>1</v>
      </c>
      <c r="E25" s="7" t="s">
        <v>107</v>
      </c>
      <c r="F25" s="35">
        <f t="shared" si="1"/>
        <v>0</v>
      </c>
      <c r="G25" s="8"/>
      <c r="H25" s="8"/>
      <c r="I25" s="8"/>
      <c r="J25" s="8"/>
      <c r="K25" s="7" t="s">
        <v>104</v>
      </c>
      <c r="L25" s="34"/>
    </row>
    <row r="26" spans="2:12">
      <c r="B26" s="33" t="s">
        <v>132</v>
      </c>
      <c r="C26" s="34" t="s">
        <v>133</v>
      </c>
      <c r="D26" s="7">
        <v>1</v>
      </c>
      <c r="E26" s="7" t="s">
        <v>107</v>
      </c>
      <c r="F26" s="35">
        <f t="shared" si="1"/>
        <v>0</v>
      </c>
      <c r="G26" s="8"/>
      <c r="H26" s="8"/>
      <c r="I26" s="8"/>
      <c r="J26" s="8"/>
      <c r="K26" s="7" t="s">
        <v>104</v>
      </c>
      <c r="L26" s="34"/>
    </row>
    <row r="27" spans="2:12">
      <c r="B27" s="33" t="s">
        <v>134</v>
      </c>
      <c r="C27" s="34" t="s">
        <v>135</v>
      </c>
      <c r="D27" s="7">
        <v>1</v>
      </c>
      <c r="E27" s="7" t="s">
        <v>107</v>
      </c>
      <c r="F27" s="35">
        <f t="shared" si="1"/>
        <v>0</v>
      </c>
      <c r="G27" s="8"/>
      <c r="H27" s="8"/>
      <c r="I27" s="8"/>
      <c r="J27" s="8"/>
      <c r="K27" s="7" t="s">
        <v>104</v>
      </c>
      <c r="L27" s="34"/>
    </row>
    <row r="28" spans="2:12">
      <c r="B28" s="33" t="s">
        <v>136</v>
      </c>
      <c r="C28" s="34" t="s">
        <v>137</v>
      </c>
      <c r="D28" s="7">
        <v>1</v>
      </c>
      <c r="E28" s="7" t="s">
        <v>107</v>
      </c>
      <c r="F28" s="35">
        <f t="shared" si="1"/>
        <v>0</v>
      </c>
      <c r="G28" s="8"/>
      <c r="H28" s="8"/>
      <c r="I28" s="8"/>
      <c r="J28" s="8"/>
      <c r="K28" s="7" t="s">
        <v>104</v>
      </c>
      <c r="L28" s="34"/>
    </row>
    <row r="29" spans="2:12">
      <c r="B29" s="33" t="s">
        <v>138</v>
      </c>
      <c r="C29" s="34" t="s">
        <v>139</v>
      </c>
      <c r="D29" s="7">
        <v>1</v>
      </c>
      <c r="E29" s="7" t="s">
        <v>107</v>
      </c>
      <c r="F29" s="35">
        <f t="shared" si="1"/>
        <v>0</v>
      </c>
      <c r="G29" s="8"/>
      <c r="H29" s="8"/>
      <c r="I29" s="8"/>
      <c r="J29" s="8"/>
      <c r="K29" s="7" t="s">
        <v>104</v>
      </c>
      <c r="L29" s="34"/>
    </row>
    <row r="30" spans="2:12">
      <c r="B30" s="28"/>
      <c r="C30" s="29" t="s">
        <v>140</v>
      </c>
      <c r="D30" s="30">
        <f>SUMIF($E31:$E36,"&lt;&gt;N/A",$D31:$D36)</f>
        <v>6</v>
      </c>
      <c r="E30" s="28"/>
      <c r="F30" s="31" cm="1">
        <f t="array" ref="F30">IFERROR(SUMPRODUCT(($E31:$E36&lt;&gt;"N/A")*$D31:$D36,IF($E31:$E36="N/A",0,$F31:$F36))/$D30,0)</f>
        <v>0</v>
      </c>
      <c r="G30" s="32">
        <v>46212</v>
      </c>
      <c r="H30" s="32">
        <v>46213</v>
      </c>
      <c r="I30" s="28"/>
      <c r="J30" s="28"/>
      <c r="K30" s="2"/>
      <c r="L30" s="28"/>
    </row>
    <row r="31" spans="2:12">
      <c r="B31" s="33" t="s">
        <v>141</v>
      </c>
      <c r="C31" s="34" t="s">
        <v>142</v>
      </c>
      <c r="D31" s="7">
        <v>1</v>
      </c>
      <c r="E31" s="7" t="s">
        <v>107</v>
      </c>
      <c r="F31" s="35">
        <f t="shared" ref="F31:F36" si="2">IF($E31="N/A","",VLOOKUP($E31,AvanceTbl,2,FALSE()))</f>
        <v>0</v>
      </c>
      <c r="G31" s="8"/>
      <c r="H31" s="8"/>
      <c r="I31" s="8"/>
      <c r="J31" s="8"/>
      <c r="K31" s="7" t="s">
        <v>104</v>
      </c>
      <c r="L31" s="34"/>
    </row>
    <row r="32" spans="2:12">
      <c r="B32" s="33" t="s">
        <v>143</v>
      </c>
      <c r="C32" s="34" t="s">
        <v>144</v>
      </c>
      <c r="D32" s="7">
        <v>1</v>
      </c>
      <c r="E32" s="7" t="s">
        <v>107</v>
      </c>
      <c r="F32" s="35">
        <f t="shared" si="2"/>
        <v>0</v>
      </c>
      <c r="G32" s="8"/>
      <c r="H32" s="8"/>
      <c r="I32" s="8"/>
      <c r="J32" s="8"/>
      <c r="K32" s="7" t="s">
        <v>104</v>
      </c>
      <c r="L32" s="34"/>
    </row>
    <row r="33" spans="2:12">
      <c r="B33" s="33" t="s">
        <v>145</v>
      </c>
      <c r="C33" s="34" t="s">
        <v>146</v>
      </c>
      <c r="D33" s="7">
        <v>1</v>
      </c>
      <c r="E33" s="7" t="s">
        <v>107</v>
      </c>
      <c r="F33" s="35">
        <f t="shared" si="2"/>
        <v>0</v>
      </c>
      <c r="G33" s="8"/>
      <c r="H33" s="8"/>
      <c r="I33" s="8"/>
      <c r="J33" s="8"/>
      <c r="K33" s="7" t="s">
        <v>104</v>
      </c>
      <c r="L33" s="34"/>
    </row>
    <row r="34" spans="2:12">
      <c r="B34" s="33" t="s">
        <v>147</v>
      </c>
      <c r="C34" s="34" t="s">
        <v>148</v>
      </c>
      <c r="D34" s="7">
        <v>1</v>
      </c>
      <c r="E34" s="7" t="s">
        <v>107</v>
      </c>
      <c r="F34" s="35">
        <f t="shared" si="2"/>
        <v>0</v>
      </c>
      <c r="G34" s="8"/>
      <c r="H34" s="8"/>
      <c r="I34" s="8"/>
      <c r="J34" s="8"/>
      <c r="K34" s="7" t="s">
        <v>104</v>
      </c>
      <c r="L34" s="34"/>
    </row>
    <row r="35" spans="2:12">
      <c r="B35" s="33" t="s">
        <v>149</v>
      </c>
      <c r="C35" s="34" t="s">
        <v>150</v>
      </c>
      <c r="D35" s="7">
        <v>1</v>
      </c>
      <c r="E35" s="7" t="s">
        <v>107</v>
      </c>
      <c r="F35" s="35">
        <f t="shared" si="2"/>
        <v>0</v>
      </c>
      <c r="G35" s="8"/>
      <c r="H35" s="8"/>
      <c r="I35" s="8"/>
      <c r="J35" s="8"/>
      <c r="K35" s="7" t="s">
        <v>104</v>
      </c>
      <c r="L35" s="34"/>
    </row>
    <row r="36" spans="2:12">
      <c r="B36" s="33" t="s">
        <v>151</v>
      </c>
      <c r="C36" s="34" t="s">
        <v>152</v>
      </c>
      <c r="D36" s="7">
        <v>1</v>
      </c>
      <c r="E36" s="7" t="s">
        <v>107</v>
      </c>
      <c r="F36" s="35">
        <f t="shared" si="2"/>
        <v>0</v>
      </c>
      <c r="G36" s="8"/>
      <c r="H36" s="8"/>
      <c r="I36" s="8"/>
      <c r="J36" s="8"/>
      <c r="K36" s="7" t="s">
        <v>104</v>
      </c>
      <c r="L36" s="34"/>
    </row>
    <row r="37" spans="2:12">
      <c r="B37" s="28"/>
      <c r="C37" s="29" t="s">
        <v>153</v>
      </c>
      <c r="D37" s="30">
        <f>SUMIF($E38:$E42,"&lt;&gt;N/A",$D38:$D42)</f>
        <v>5</v>
      </c>
      <c r="E37" s="28"/>
      <c r="F37" s="31" cm="1">
        <f t="array" ref="F37">IFERROR(SUMPRODUCT(($E38:$E42&lt;&gt;"N/A")*$D38:$D42,IF($E38:$E42="N/A",0,$F38:$F42))/$D37,0)</f>
        <v>0</v>
      </c>
      <c r="G37" s="32">
        <v>46217</v>
      </c>
      <c r="H37" s="32">
        <v>46217</v>
      </c>
      <c r="I37" s="28"/>
      <c r="J37" s="28"/>
      <c r="K37" s="2"/>
      <c r="L37" s="28"/>
    </row>
    <row r="38" spans="2:12">
      <c r="B38" s="33" t="s">
        <v>154</v>
      </c>
      <c r="C38" s="34" t="s">
        <v>155</v>
      </c>
      <c r="D38" s="7">
        <v>1</v>
      </c>
      <c r="E38" s="7" t="s">
        <v>107</v>
      </c>
      <c r="F38" s="35">
        <f>IF($E38="N/A","",VLOOKUP($E38,AvanceTbl,2,FALSE()))</f>
        <v>0</v>
      </c>
      <c r="G38" s="8"/>
      <c r="H38" s="8"/>
      <c r="I38" s="8"/>
      <c r="J38" s="8"/>
      <c r="K38" s="7" t="s">
        <v>104</v>
      </c>
      <c r="L38" s="34"/>
    </row>
    <row r="39" spans="2:12">
      <c r="B39" s="33" t="s">
        <v>156</v>
      </c>
      <c r="C39" s="34" t="s">
        <v>157</v>
      </c>
      <c r="D39" s="7">
        <v>1</v>
      </c>
      <c r="E39" s="7" t="s">
        <v>107</v>
      </c>
      <c r="F39" s="35">
        <f>IF($E39="N/A","",VLOOKUP($E39,AvanceTbl,2,FALSE()))</f>
        <v>0</v>
      </c>
      <c r="G39" s="8"/>
      <c r="H39" s="8"/>
      <c r="I39" s="8"/>
      <c r="J39" s="8"/>
      <c r="K39" s="7" t="s">
        <v>104</v>
      </c>
      <c r="L39" s="34"/>
    </row>
    <row r="40" spans="2:12">
      <c r="B40" s="33" t="s">
        <v>158</v>
      </c>
      <c r="C40" s="34" t="s">
        <v>159</v>
      </c>
      <c r="D40" s="7">
        <v>1</v>
      </c>
      <c r="E40" s="7" t="s">
        <v>107</v>
      </c>
      <c r="F40" s="35">
        <f>IF($E40="N/A","",VLOOKUP($E40,AvanceTbl,2,FALSE()))</f>
        <v>0</v>
      </c>
      <c r="G40" s="8"/>
      <c r="H40" s="8"/>
      <c r="I40" s="8"/>
      <c r="J40" s="8"/>
      <c r="K40" s="7" t="s">
        <v>104</v>
      </c>
      <c r="L40" s="34"/>
    </row>
    <row r="41" spans="2:12">
      <c r="B41" s="33" t="s">
        <v>160</v>
      </c>
      <c r="C41" s="34" t="s">
        <v>161</v>
      </c>
      <c r="D41" s="7">
        <v>1</v>
      </c>
      <c r="E41" s="7" t="s">
        <v>107</v>
      </c>
      <c r="F41" s="35">
        <f>IF($E41="N/A","",VLOOKUP($E41,AvanceTbl,2,FALSE()))</f>
        <v>0</v>
      </c>
      <c r="G41" s="8"/>
      <c r="H41" s="8"/>
      <c r="I41" s="8"/>
      <c r="J41" s="8"/>
      <c r="K41" s="7" t="s">
        <v>104</v>
      </c>
      <c r="L41" s="34"/>
    </row>
    <row r="42" spans="2:12">
      <c r="B42" s="33" t="s">
        <v>162</v>
      </c>
      <c r="C42" s="34" t="s">
        <v>163</v>
      </c>
      <c r="D42" s="7">
        <v>1</v>
      </c>
      <c r="E42" s="7" t="s">
        <v>107</v>
      </c>
      <c r="F42" s="35">
        <f>IF($E42="N/A","",VLOOKUP($E42,AvanceTbl,2,FALSE()))</f>
        <v>0</v>
      </c>
      <c r="G42" s="8"/>
      <c r="H42" s="8"/>
      <c r="I42" s="8"/>
      <c r="J42" s="8"/>
      <c r="K42" s="7" t="s">
        <v>101</v>
      </c>
      <c r="L42" s="34"/>
    </row>
    <row r="43" spans="2:12">
      <c r="B43" s="28"/>
      <c r="C43" s="29" t="s">
        <v>164</v>
      </c>
      <c r="D43" s="30">
        <f>SUMIF($E44:$E46,"&lt;&gt;N/A",$D44:$D46)</f>
        <v>3</v>
      </c>
      <c r="E43" s="28"/>
      <c r="F43" s="31" cm="1">
        <f t="array" ref="F43">IFERROR(SUMPRODUCT(($E44:$E46&lt;&gt;"N/A")*$D44:$D46,IF($E44:$E46="N/A",0,$F44:$F46))/$D43,0)</f>
        <v>0</v>
      </c>
      <c r="G43" s="32">
        <v>46217</v>
      </c>
      <c r="H43" s="32">
        <v>46217</v>
      </c>
      <c r="I43" s="28"/>
      <c r="J43" s="28"/>
      <c r="K43" s="2"/>
      <c r="L43" s="28"/>
    </row>
    <row r="44" spans="2:12">
      <c r="B44" s="33" t="s">
        <v>165</v>
      </c>
      <c r="C44" s="34" t="s">
        <v>166</v>
      </c>
      <c r="D44" s="7">
        <v>1</v>
      </c>
      <c r="E44" s="7" t="s">
        <v>107</v>
      </c>
      <c r="F44" s="35">
        <f>IF($E44="N/A","",VLOOKUP($E44,AvanceTbl,2,FALSE()))</f>
        <v>0</v>
      </c>
      <c r="G44" s="8"/>
      <c r="H44" s="8"/>
      <c r="I44" s="8"/>
      <c r="J44" s="8"/>
      <c r="K44" s="7" t="s">
        <v>104</v>
      </c>
      <c r="L44" s="34"/>
    </row>
    <row r="45" spans="2:12">
      <c r="B45" s="33" t="s">
        <v>167</v>
      </c>
      <c r="C45" s="34" t="s">
        <v>168</v>
      </c>
      <c r="D45" s="7">
        <v>1</v>
      </c>
      <c r="E45" s="7" t="s">
        <v>107</v>
      </c>
      <c r="F45" s="35">
        <f>IF($E45="N/A","",VLOOKUP($E45,AvanceTbl,2,FALSE()))</f>
        <v>0</v>
      </c>
      <c r="G45" s="8"/>
      <c r="H45" s="8"/>
      <c r="I45" s="8"/>
      <c r="J45" s="8"/>
      <c r="K45" s="7" t="s">
        <v>101</v>
      </c>
      <c r="L45" s="34"/>
    </row>
    <row r="46" spans="2:12">
      <c r="B46" s="33" t="s">
        <v>169</v>
      </c>
      <c r="C46" s="34" t="s">
        <v>170</v>
      </c>
      <c r="D46" s="7">
        <v>1</v>
      </c>
      <c r="E46" s="7" t="s">
        <v>107</v>
      </c>
      <c r="F46" s="35">
        <f>IF($E46="N/A","",VLOOKUP($E46,AvanceTbl,2,FALSE()))</f>
        <v>0</v>
      </c>
      <c r="G46" s="8"/>
      <c r="H46" s="8"/>
      <c r="I46" s="8"/>
      <c r="J46" s="8"/>
      <c r="K46" s="7" t="s">
        <v>101</v>
      </c>
      <c r="L46" s="34"/>
    </row>
    <row r="47" spans="2:12">
      <c r="B47" s="28"/>
      <c r="C47" s="29" t="s">
        <v>171</v>
      </c>
      <c r="D47" s="30">
        <f>SUMIF($E48:$E51,"&lt;&gt;N/A",$D48:$D51)</f>
        <v>4</v>
      </c>
      <c r="E47" s="28"/>
      <c r="F47" s="31" cm="1">
        <f t="array" ref="F47">IFERROR(SUMPRODUCT(($E48:$E51&lt;&gt;"N/A")*$D48:$D51,IF($E48:$E51="N/A",0,$F48:$F51))/$D47,0)</f>
        <v>0</v>
      </c>
      <c r="G47" s="32">
        <v>46217</v>
      </c>
      <c r="H47" s="32">
        <v>46217</v>
      </c>
      <c r="I47" s="28"/>
      <c r="J47" s="28"/>
      <c r="K47" s="2"/>
      <c r="L47" s="28"/>
    </row>
    <row r="48" spans="2:12">
      <c r="B48" s="33" t="s">
        <v>172</v>
      </c>
      <c r="C48" s="34" t="s">
        <v>173</v>
      </c>
      <c r="D48" s="7">
        <v>1</v>
      </c>
      <c r="E48" s="7" t="s">
        <v>107</v>
      </c>
      <c r="F48" s="35">
        <f>IF($E48="N/A","",VLOOKUP($E48,AvanceTbl,2,FALSE()))</f>
        <v>0</v>
      </c>
      <c r="G48" s="8"/>
      <c r="H48" s="8"/>
      <c r="I48" s="8"/>
      <c r="J48" s="8"/>
      <c r="K48" s="7" t="s">
        <v>104</v>
      </c>
      <c r="L48" s="34"/>
    </row>
    <row r="49" spans="2:12" ht="26.45">
      <c r="B49" s="33" t="s">
        <v>174</v>
      </c>
      <c r="C49" s="34" t="s">
        <v>175</v>
      </c>
      <c r="D49" s="7">
        <v>1</v>
      </c>
      <c r="E49" s="7" t="s">
        <v>107</v>
      </c>
      <c r="F49" s="35">
        <f>IF($E49="N/A","",VLOOKUP($E49,AvanceTbl,2,FALSE()))</f>
        <v>0</v>
      </c>
      <c r="G49" s="8"/>
      <c r="H49" s="8"/>
      <c r="I49" s="8"/>
      <c r="J49" s="8"/>
      <c r="K49" s="7" t="s">
        <v>104</v>
      </c>
      <c r="L49" s="34"/>
    </row>
    <row r="50" spans="2:12">
      <c r="B50" s="33" t="s">
        <v>176</v>
      </c>
      <c r="C50" s="34" t="s">
        <v>177</v>
      </c>
      <c r="D50" s="7">
        <v>1</v>
      </c>
      <c r="E50" s="7" t="s">
        <v>107</v>
      </c>
      <c r="F50" s="35">
        <f>IF($E50="N/A","",VLOOKUP($E50,AvanceTbl,2,FALSE()))</f>
        <v>0</v>
      </c>
      <c r="G50" s="8"/>
      <c r="H50" s="8"/>
      <c r="I50" s="8"/>
      <c r="J50" s="8"/>
      <c r="K50" s="7" t="s">
        <v>104</v>
      </c>
      <c r="L50" s="34"/>
    </row>
    <row r="51" spans="2:12">
      <c r="B51" s="33" t="s">
        <v>178</v>
      </c>
      <c r="C51" s="34" t="s">
        <v>179</v>
      </c>
      <c r="D51" s="7">
        <v>1</v>
      </c>
      <c r="E51" s="7" t="s">
        <v>107</v>
      </c>
      <c r="F51" s="35">
        <f>IF($E51="N/A","",VLOOKUP($E51,AvanceTbl,2,FALSE()))</f>
        <v>0</v>
      </c>
      <c r="G51" s="8"/>
      <c r="H51" s="8"/>
      <c r="I51" s="8"/>
      <c r="J51" s="8"/>
      <c r="K51" s="7" t="s">
        <v>101</v>
      </c>
      <c r="L51" s="34"/>
    </row>
    <row r="52" spans="2:12">
      <c r="B52" s="28"/>
      <c r="C52" s="29" t="s">
        <v>180</v>
      </c>
      <c r="D52" s="30">
        <f>SUMIF($E53:$E56,"&lt;&gt;N/A",$D53:$D56)</f>
        <v>4</v>
      </c>
      <c r="E52" s="28"/>
      <c r="F52" s="31" cm="1">
        <f t="array" ref="F52">IFERROR(SUMPRODUCT(($E53:$E56&lt;&gt;"N/A")*$D53:$D56,IF($E53:$E56="N/A",0,$F53:$F56))/$D52,0)</f>
        <v>0</v>
      </c>
      <c r="G52" s="32">
        <v>46217</v>
      </c>
      <c r="H52" s="32">
        <v>46217</v>
      </c>
      <c r="I52" s="28"/>
      <c r="J52" s="28"/>
      <c r="K52" s="2"/>
      <c r="L52" s="28"/>
    </row>
    <row r="53" spans="2:12">
      <c r="B53" s="33" t="s">
        <v>181</v>
      </c>
      <c r="C53" s="34" t="s">
        <v>182</v>
      </c>
      <c r="D53" s="7">
        <v>1</v>
      </c>
      <c r="E53" s="7" t="s">
        <v>107</v>
      </c>
      <c r="F53" s="35">
        <f>IF($E53="N/A","",VLOOKUP($E53,AvanceTbl,2,FALSE()))</f>
        <v>0</v>
      </c>
      <c r="G53" s="8"/>
      <c r="H53" s="8"/>
      <c r="I53" s="8"/>
      <c r="J53" s="8"/>
      <c r="K53" s="7" t="s">
        <v>101</v>
      </c>
      <c r="L53" s="34"/>
    </row>
    <row r="54" spans="2:12">
      <c r="B54" s="33" t="s">
        <v>183</v>
      </c>
      <c r="C54" s="34" t="s">
        <v>184</v>
      </c>
      <c r="D54" s="7">
        <v>1</v>
      </c>
      <c r="E54" s="7" t="s">
        <v>107</v>
      </c>
      <c r="F54" s="35">
        <f>IF($E54="N/A","",VLOOKUP($E54,AvanceTbl,2,FALSE()))</f>
        <v>0</v>
      </c>
      <c r="G54" s="8"/>
      <c r="H54" s="8"/>
      <c r="I54" s="8"/>
      <c r="J54" s="8"/>
      <c r="K54" s="7" t="s">
        <v>101</v>
      </c>
      <c r="L54" s="34"/>
    </row>
    <row r="55" spans="2:12">
      <c r="B55" s="33" t="s">
        <v>185</v>
      </c>
      <c r="C55" s="34" t="s">
        <v>186</v>
      </c>
      <c r="D55" s="7">
        <v>1</v>
      </c>
      <c r="E55" s="7" t="s">
        <v>107</v>
      </c>
      <c r="F55" s="35">
        <f>IF($E55="N/A","",VLOOKUP($E55,AvanceTbl,2,FALSE()))</f>
        <v>0</v>
      </c>
      <c r="G55" s="8"/>
      <c r="H55" s="8"/>
      <c r="I55" s="8"/>
      <c r="J55" s="8"/>
      <c r="K55" s="7" t="s">
        <v>101</v>
      </c>
      <c r="L55" s="34"/>
    </row>
    <row r="56" spans="2:12">
      <c r="B56" s="33" t="s">
        <v>187</v>
      </c>
      <c r="C56" s="34" t="s">
        <v>188</v>
      </c>
      <c r="D56" s="7">
        <v>1</v>
      </c>
      <c r="E56" s="7" t="s">
        <v>107</v>
      </c>
      <c r="F56" s="35">
        <f>IF($E56="N/A","",VLOOKUP($E56,AvanceTbl,2,FALSE()))</f>
        <v>0</v>
      </c>
      <c r="G56" s="8"/>
      <c r="H56" s="8"/>
      <c r="I56" s="8"/>
      <c r="J56" s="8"/>
      <c r="K56" s="7" t="s">
        <v>189</v>
      </c>
      <c r="L56" s="34"/>
    </row>
  </sheetData>
  <mergeCells count="9">
    <mergeCell ref="B7:F7"/>
    <mergeCell ref="G7:L7"/>
    <mergeCell ref="B2:L2"/>
    <mergeCell ref="C4:E4"/>
    <mergeCell ref="G4:H4"/>
    <mergeCell ref="J4:L4"/>
    <mergeCell ref="C5:E5"/>
    <mergeCell ref="G5:H5"/>
    <mergeCell ref="J5:L5"/>
  </mergeCells>
  <conditionalFormatting sqref="E10:E56">
    <cfRule type="cellIs" dxfId="52" priority="2" operator="equal">
      <formula>"Completado"</formula>
    </cfRule>
    <cfRule type="cellIs" dxfId="51" priority="3" operator="equal">
      <formula>"En proceso"</formula>
    </cfRule>
    <cfRule type="cellIs" dxfId="50" priority="4" operator="equal">
      <formula>"Pendiente"</formula>
    </cfRule>
  </conditionalFormatting>
  <conditionalFormatting sqref="F10:F56">
    <cfRule type="dataBar" priority="5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{4FE3E084-739B-49F6-ABB0-40918AB1117D}</x14:id>
        </ext>
      </extLst>
    </cfRule>
  </conditionalFormatting>
  <conditionalFormatting sqref="G11:G15">
    <cfRule type="expression" dxfId="49" priority="6">
      <formula>AND($G11&lt;&gt;"",$G11&lt;TODAY(),$E11&lt;&gt;"Completado",$E11&lt;&gt;"N/A")</formula>
    </cfRule>
  </conditionalFormatting>
  <conditionalFormatting sqref="G17:G22">
    <cfRule type="expression" dxfId="48" priority="11">
      <formula>AND($G17&lt;&gt;"",$G17&lt;TODAY(),$E17&lt;&gt;"Completado",$E17&lt;&gt;"N/A")</formula>
    </cfRule>
  </conditionalFormatting>
  <conditionalFormatting sqref="G24:G29">
    <cfRule type="expression" dxfId="47" priority="17">
      <formula>AND($G24&lt;&gt;"",$G24&lt;TODAY(),$E24&lt;&gt;"Completado",$E24&lt;&gt;"N/A")</formula>
    </cfRule>
  </conditionalFormatting>
  <conditionalFormatting sqref="G31:G36">
    <cfRule type="expression" dxfId="46" priority="23">
      <formula>AND($G31&lt;&gt;"",$G31&lt;TODAY(),$E31&lt;&gt;"Completado",$E31&lt;&gt;"N/A")</formula>
    </cfRule>
  </conditionalFormatting>
  <conditionalFormatting sqref="G38:G42">
    <cfRule type="expression" dxfId="45" priority="29">
      <formula>AND($G38&lt;&gt;"",$G38&lt;TODAY(),$E38&lt;&gt;"Completado",$E38&lt;&gt;"N/A")</formula>
    </cfRule>
  </conditionalFormatting>
  <conditionalFormatting sqref="G44:G46">
    <cfRule type="expression" dxfId="44" priority="34">
      <formula>AND($G44&lt;&gt;"",$G44&lt;TODAY(),$E44&lt;&gt;"Completado",$E44&lt;&gt;"N/A")</formula>
    </cfRule>
  </conditionalFormatting>
  <conditionalFormatting sqref="G48:G51">
    <cfRule type="expression" dxfId="43" priority="37">
      <formula>AND($G48&lt;&gt;"",$G48&lt;TODAY(),$E48&lt;&gt;"Completado",$E48&lt;&gt;"N/A")</formula>
    </cfRule>
  </conditionalFormatting>
  <conditionalFormatting sqref="G53:G56">
    <cfRule type="expression" dxfId="42" priority="41">
      <formula>AND($G53&lt;&gt;"",$G53&lt;TODAY(),$E53&lt;&gt;"Completado",$E53&lt;&gt;"N/A")</formula>
    </cfRule>
  </conditionalFormatting>
  <dataValidations count="1">
    <dataValidation type="list" allowBlank="1" sqref="E11:E15 E17:E22 E24:E29 E31:E36 E38:E42 E44:E46 E48:E51 E53:E56" xr:uid="{00000000-0002-0000-0300-000000000000}">
      <formula1>EstadoList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FE3E084-739B-49F6-ABB0-40918AB1117D}">
            <x14:dataBar axisPosition="none">
              <x14:cfvo type="num">
                <xm:f>0</xm:f>
              </x14:cfvo>
              <x14:cfvo type="num">
                <xm:f>1</xm:f>
              </x14:cfvo>
              <x14:negativeFillColor rgb="FF63C384"/>
            </x14:dataBar>
          </x14:cfRule>
          <xm:sqref>F10:F56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2E5496"/>
  </sheetPr>
  <dimension ref="B2:L56"/>
  <sheetViews>
    <sheetView showGridLines="0" zoomScaleNormal="100" workbookViewId="0">
      <pane xSplit="6" ySplit="9" topLeftCell="G10" activePane="bottomRight" state="frozen"/>
      <selection pane="bottomRight" activeCell="E20" sqref="E20"/>
      <selection pane="bottomLeft" activeCell="A10" sqref="A10"/>
      <selection pane="topRight" activeCell="G1" sqref="G1"/>
    </sheetView>
  </sheetViews>
  <sheetFormatPr defaultColWidth="8.7109375" defaultRowHeight="14.45"/>
  <cols>
    <col min="1" max="1" width="2" customWidth="1"/>
    <col min="2" max="2" width="6" customWidth="1"/>
    <col min="3" max="3" width="50" customWidth="1"/>
    <col min="4" max="4" width="7" customWidth="1"/>
    <col min="5" max="5" width="13" customWidth="1"/>
    <col min="6" max="6" width="9" customWidth="1"/>
    <col min="7" max="10" width="12" customWidth="1"/>
    <col min="11" max="11" width="15" customWidth="1"/>
    <col min="12" max="12" width="30" customWidth="1"/>
  </cols>
  <sheetData>
    <row r="2" spans="2:12" ht="17.45">
      <c r="B2" s="47" t="s">
        <v>194</v>
      </c>
      <c r="C2" s="47"/>
      <c r="D2" s="47"/>
      <c r="E2" s="47"/>
      <c r="F2" s="47"/>
      <c r="G2" s="47"/>
      <c r="H2" s="47"/>
      <c r="I2" s="47"/>
      <c r="J2" s="47"/>
      <c r="K2" s="47"/>
      <c r="L2" s="47"/>
    </row>
    <row r="4" spans="2:12">
      <c r="B4" s="27" t="s">
        <v>80</v>
      </c>
      <c r="C4" s="48"/>
      <c r="D4" s="48"/>
      <c r="E4" s="48"/>
      <c r="F4" s="27" t="s">
        <v>81</v>
      </c>
      <c r="G4" s="48" t="s">
        <v>13</v>
      </c>
      <c r="H4" s="48"/>
      <c r="I4" s="27" t="s">
        <v>82</v>
      </c>
      <c r="J4" s="48"/>
      <c r="K4" s="48"/>
      <c r="L4" s="48"/>
    </row>
    <row r="5" spans="2:12">
      <c r="B5" s="27" t="s">
        <v>83</v>
      </c>
      <c r="C5" s="48"/>
      <c r="D5" s="48"/>
      <c r="E5" s="48"/>
      <c r="F5" s="27" t="s">
        <v>84</v>
      </c>
      <c r="G5" s="48"/>
      <c r="H5" s="48"/>
      <c r="I5" s="27" t="s">
        <v>85</v>
      </c>
      <c r="J5" s="48"/>
      <c r="K5" s="48"/>
      <c r="L5" s="48"/>
    </row>
    <row r="7" spans="2:12" ht="21">
      <c r="B7" s="45" t="s">
        <v>86</v>
      </c>
      <c r="C7" s="45"/>
      <c r="D7" s="45"/>
      <c r="E7" s="45"/>
      <c r="F7" s="45"/>
      <c r="G7" s="46">
        <f>IFERROR(($D10*$F10+$D16*$F16+$D23*$F23+$D30*$F30+$D37*$F37+$D43*$F43+$D47*$F47+$D52*$F52)/($D10+$D16+$D23+$D30+$D37+$D43+$D47+$D52),0)</f>
        <v>0.11842105263157894</v>
      </c>
      <c r="H7" s="46"/>
      <c r="I7" s="46"/>
      <c r="J7" s="46"/>
      <c r="K7" s="46"/>
      <c r="L7" s="46"/>
    </row>
    <row r="9" spans="2:12">
      <c r="B9" s="4" t="s">
        <v>87</v>
      </c>
      <c r="C9" s="4" t="s">
        <v>88</v>
      </c>
      <c r="D9" s="4" t="s">
        <v>89</v>
      </c>
      <c r="E9" s="4" t="s">
        <v>90</v>
      </c>
      <c r="F9" s="4" t="s">
        <v>91</v>
      </c>
      <c r="G9" s="4" t="s">
        <v>5</v>
      </c>
      <c r="H9" s="4" t="s">
        <v>92</v>
      </c>
      <c r="I9" s="4" t="s">
        <v>93</v>
      </c>
      <c r="J9" s="4" t="s">
        <v>94</v>
      </c>
      <c r="K9" s="4" t="s">
        <v>95</v>
      </c>
      <c r="L9" s="4" t="s">
        <v>96</v>
      </c>
    </row>
    <row r="10" spans="2:12">
      <c r="B10" s="28"/>
      <c r="C10" s="29" t="s">
        <v>97</v>
      </c>
      <c r="D10" s="30">
        <f>SUMIF($E11:$E15,"&lt;&gt;N/A",$D11:$D15)</f>
        <v>5</v>
      </c>
      <c r="E10" s="28"/>
      <c r="F10" s="31" cm="1">
        <f t="array" ref="F10">IFERROR(SUMPRODUCT(($E11:$E15&lt;&gt;"N/A")*$D11:$D15,IF($E11:$E15="N/A",0,$F11:$F15))/$D10,0)</f>
        <v>0.4</v>
      </c>
      <c r="G10" s="32">
        <v>46202</v>
      </c>
      <c r="H10" s="32">
        <v>46205</v>
      </c>
      <c r="I10" s="28"/>
      <c r="J10" s="28"/>
      <c r="K10" s="28"/>
      <c r="L10" s="28"/>
    </row>
    <row r="11" spans="2:12" ht="26.45">
      <c r="B11" s="33" t="s">
        <v>98</v>
      </c>
      <c r="C11" s="34" t="s">
        <v>99</v>
      </c>
      <c r="D11" s="7">
        <v>1</v>
      </c>
      <c r="E11" s="7" t="s">
        <v>100</v>
      </c>
      <c r="F11" s="35">
        <f>IF($E11="N/A","",VLOOKUP($E11,AvanceTbl,2,FALSE()))</f>
        <v>1</v>
      </c>
      <c r="G11" s="8"/>
      <c r="H11" s="8"/>
      <c r="I11" s="8"/>
      <c r="J11" s="8"/>
      <c r="K11" s="7" t="s">
        <v>101</v>
      </c>
      <c r="L11" s="34"/>
    </row>
    <row r="12" spans="2:12">
      <c r="B12" s="33" t="s">
        <v>102</v>
      </c>
      <c r="C12" s="34" t="s">
        <v>103</v>
      </c>
      <c r="D12" s="7">
        <v>1</v>
      </c>
      <c r="E12" s="7" t="s">
        <v>100</v>
      </c>
      <c r="F12" s="35">
        <f>IF($E12="N/A","",VLOOKUP($E12,AvanceTbl,2,FALSE()))</f>
        <v>1</v>
      </c>
      <c r="G12" s="8"/>
      <c r="H12" s="8"/>
      <c r="I12" s="8"/>
      <c r="J12" s="8"/>
      <c r="K12" s="7" t="s">
        <v>104</v>
      </c>
      <c r="L12" s="34"/>
    </row>
    <row r="13" spans="2:12">
      <c r="B13" s="33" t="s">
        <v>105</v>
      </c>
      <c r="C13" s="34" t="s">
        <v>106</v>
      </c>
      <c r="D13" s="7">
        <v>1</v>
      </c>
      <c r="E13" s="7" t="s">
        <v>107</v>
      </c>
      <c r="F13" s="35">
        <f>IF($E13="N/A","",VLOOKUP($E13,AvanceTbl,2,FALSE()))</f>
        <v>0</v>
      </c>
      <c r="G13" s="8"/>
      <c r="H13" s="8"/>
      <c r="I13" s="8"/>
      <c r="J13" s="8"/>
      <c r="K13" s="7" t="s">
        <v>104</v>
      </c>
      <c r="L13" s="34"/>
    </row>
    <row r="14" spans="2:12">
      <c r="B14" s="33" t="s">
        <v>108</v>
      </c>
      <c r="C14" s="34" t="s">
        <v>109</v>
      </c>
      <c r="D14" s="7">
        <v>1</v>
      </c>
      <c r="E14" s="7" t="s">
        <v>107</v>
      </c>
      <c r="F14" s="35">
        <f>IF($E14="N/A","",VLOOKUP($E14,AvanceTbl,2,FALSE()))</f>
        <v>0</v>
      </c>
      <c r="G14" s="8"/>
      <c r="H14" s="8"/>
      <c r="I14" s="8"/>
      <c r="J14" s="8"/>
      <c r="K14" s="7" t="s">
        <v>104</v>
      </c>
      <c r="L14" s="34"/>
    </row>
    <row r="15" spans="2:12">
      <c r="B15" s="33" t="s">
        <v>110</v>
      </c>
      <c r="C15" s="34" t="s">
        <v>111</v>
      </c>
      <c r="D15" s="7">
        <v>1</v>
      </c>
      <c r="E15" s="7" t="s">
        <v>107</v>
      </c>
      <c r="F15" s="35">
        <f>IF($E15="N/A","",VLOOKUP($E15,AvanceTbl,2,FALSE()))</f>
        <v>0</v>
      </c>
      <c r="G15" s="8"/>
      <c r="H15" s="8"/>
      <c r="I15" s="8"/>
      <c r="J15" s="8"/>
      <c r="K15" s="7" t="s">
        <v>101</v>
      </c>
      <c r="L15" s="34"/>
    </row>
    <row r="16" spans="2:12">
      <c r="B16" s="28"/>
      <c r="C16" s="29" t="s">
        <v>112</v>
      </c>
      <c r="D16" s="30">
        <f>SUMIF($E17:$E22,"&lt;&gt;N/A",$D17:$D22)</f>
        <v>5</v>
      </c>
      <c r="E16" s="28"/>
      <c r="F16" s="31" cm="1">
        <f t="array" ref="F16">IFERROR(SUMPRODUCT(($E17:$E22&lt;&gt;"N/A")*$D17:$D22,IF($E17:$E22="N/A",0,$F17:$F22))/$D16,0)</f>
        <v>0.4</v>
      </c>
      <c r="G16" s="32">
        <v>46208</v>
      </c>
      <c r="H16" s="32">
        <v>46213</v>
      </c>
      <c r="I16" s="28"/>
      <c r="J16" s="28"/>
      <c r="K16" s="2"/>
      <c r="L16" s="28"/>
    </row>
    <row r="17" spans="2:12" ht="26.45">
      <c r="B17" s="33" t="s">
        <v>113</v>
      </c>
      <c r="C17" s="34" t="s">
        <v>114</v>
      </c>
      <c r="D17" s="7">
        <v>1</v>
      </c>
      <c r="E17" s="7" t="s">
        <v>100</v>
      </c>
      <c r="F17" s="35">
        <f t="shared" ref="F17:F22" si="0">IF($E17="N/A","",VLOOKUP($E17,AvanceTbl,2,FALSE()))</f>
        <v>1</v>
      </c>
      <c r="G17" s="8"/>
      <c r="H17" s="8"/>
      <c r="I17" s="8"/>
      <c r="J17" s="8"/>
      <c r="K17" s="7" t="s">
        <v>101</v>
      </c>
      <c r="L17" s="34"/>
    </row>
    <row r="18" spans="2:12">
      <c r="B18" s="33" t="s">
        <v>115</v>
      </c>
      <c r="C18" s="34" t="s">
        <v>116</v>
      </c>
      <c r="D18" s="7">
        <v>1</v>
      </c>
      <c r="E18" s="7" t="s">
        <v>100</v>
      </c>
      <c r="F18" s="35">
        <f t="shared" si="0"/>
        <v>1</v>
      </c>
      <c r="G18" s="8"/>
      <c r="H18" s="8"/>
      <c r="I18" s="8"/>
      <c r="J18" s="8"/>
      <c r="K18" s="7" t="s">
        <v>104</v>
      </c>
      <c r="L18" s="34"/>
    </row>
    <row r="19" spans="2:12">
      <c r="B19" s="33" t="s">
        <v>117</v>
      </c>
      <c r="C19" s="34" t="s">
        <v>118</v>
      </c>
      <c r="D19" s="7">
        <v>1</v>
      </c>
      <c r="E19" s="7" t="s">
        <v>107</v>
      </c>
      <c r="F19" s="35">
        <f t="shared" si="0"/>
        <v>0</v>
      </c>
      <c r="G19" s="8"/>
      <c r="H19" s="8"/>
      <c r="I19" s="8"/>
      <c r="J19" s="8"/>
      <c r="K19" s="7" t="s">
        <v>104</v>
      </c>
      <c r="L19" s="34"/>
    </row>
    <row r="20" spans="2:12">
      <c r="B20" s="33" t="s">
        <v>119</v>
      </c>
      <c r="C20" s="34" t="s">
        <v>120</v>
      </c>
      <c r="D20" s="7">
        <v>1</v>
      </c>
      <c r="E20" s="7" t="s">
        <v>121</v>
      </c>
      <c r="F20" s="35" t="str">
        <f t="shared" si="0"/>
        <v/>
      </c>
      <c r="G20" s="8"/>
      <c r="H20" s="8"/>
      <c r="I20" s="8"/>
      <c r="J20" s="8"/>
      <c r="K20" s="7" t="s">
        <v>104</v>
      </c>
      <c r="L20" s="34"/>
    </row>
    <row r="21" spans="2:12">
      <c r="B21" s="33" t="s">
        <v>122</v>
      </c>
      <c r="C21" s="34" t="s">
        <v>123</v>
      </c>
      <c r="D21" s="7">
        <v>1</v>
      </c>
      <c r="E21" s="7" t="s">
        <v>107</v>
      </c>
      <c r="F21" s="35">
        <f t="shared" si="0"/>
        <v>0</v>
      </c>
      <c r="G21" s="8"/>
      <c r="H21" s="8"/>
      <c r="I21" s="8"/>
      <c r="J21" s="8"/>
      <c r="K21" s="7" t="s">
        <v>104</v>
      </c>
      <c r="L21" s="34"/>
    </row>
    <row r="22" spans="2:12">
      <c r="B22" s="33" t="s">
        <v>124</v>
      </c>
      <c r="C22" s="34" t="s">
        <v>125</v>
      </c>
      <c r="D22" s="7">
        <v>1</v>
      </c>
      <c r="E22" s="7" t="s">
        <v>107</v>
      </c>
      <c r="F22" s="35">
        <f t="shared" si="0"/>
        <v>0</v>
      </c>
      <c r="G22" s="8"/>
      <c r="H22" s="8"/>
      <c r="I22" s="8"/>
      <c r="J22" s="8"/>
      <c r="K22" s="7" t="s">
        <v>104</v>
      </c>
      <c r="L22" s="34"/>
    </row>
    <row r="23" spans="2:12">
      <c r="B23" s="28"/>
      <c r="C23" s="29" t="s">
        <v>126</v>
      </c>
      <c r="D23" s="30">
        <f>SUMIF($E24:$E29,"&lt;&gt;N/A",$D24:$D29)</f>
        <v>6</v>
      </c>
      <c r="E23" s="28"/>
      <c r="F23" s="31" cm="1">
        <f t="array" ref="F23">IFERROR(SUMPRODUCT(($E24:$E29&lt;&gt;"N/A")*$D24:$D29,IF($E24:$E29="N/A",0,$F24:$F29))/$D23,0)</f>
        <v>8.3333333333333329E-2</v>
      </c>
      <c r="G23" s="32">
        <v>46208</v>
      </c>
      <c r="H23" s="32">
        <v>46213</v>
      </c>
      <c r="I23" s="28"/>
      <c r="J23" s="28"/>
      <c r="K23" s="2"/>
      <c r="L23" s="28"/>
    </row>
    <row r="24" spans="2:12">
      <c r="B24" s="33" t="s">
        <v>127</v>
      </c>
      <c r="C24" s="34" t="s">
        <v>128</v>
      </c>
      <c r="D24" s="7">
        <v>1</v>
      </c>
      <c r="E24" s="7" t="s">
        <v>129</v>
      </c>
      <c r="F24" s="35">
        <f t="shared" ref="F24:F29" si="1">IF($E24="N/A","",VLOOKUP($E24,AvanceTbl,2,FALSE()))</f>
        <v>0.5</v>
      </c>
      <c r="G24" s="8"/>
      <c r="H24" s="8"/>
      <c r="I24" s="8"/>
      <c r="J24" s="8"/>
      <c r="K24" s="7" t="s">
        <v>104</v>
      </c>
      <c r="L24" s="34"/>
    </row>
    <row r="25" spans="2:12">
      <c r="B25" s="33" t="s">
        <v>130</v>
      </c>
      <c r="C25" s="34" t="s">
        <v>131</v>
      </c>
      <c r="D25" s="7">
        <v>1</v>
      </c>
      <c r="E25" s="7" t="s">
        <v>107</v>
      </c>
      <c r="F25" s="35">
        <f t="shared" si="1"/>
        <v>0</v>
      </c>
      <c r="G25" s="8"/>
      <c r="H25" s="8"/>
      <c r="I25" s="8"/>
      <c r="J25" s="8"/>
      <c r="K25" s="7" t="s">
        <v>104</v>
      </c>
      <c r="L25" s="34"/>
    </row>
    <row r="26" spans="2:12">
      <c r="B26" s="33" t="s">
        <v>132</v>
      </c>
      <c r="C26" s="34" t="s">
        <v>133</v>
      </c>
      <c r="D26" s="7">
        <v>1</v>
      </c>
      <c r="E26" s="7" t="s">
        <v>107</v>
      </c>
      <c r="F26" s="35">
        <f t="shared" si="1"/>
        <v>0</v>
      </c>
      <c r="G26" s="8"/>
      <c r="H26" s="8"/>
      <c r="I26" s="8"/>
      <c r="J26" s="8"/>
      <c r="K26" s="7" t="s">
        <v>104</v>
      </c>
      <c r="L26" s="34"/>
    </row>
    <row r="27" spans="2:12">
      <c r="B27" s="33" t="s">
        <v>134</v>
      </c>
      <c r="C27" s="34" t="s">
        <v>135</v>
      </c>
      <c r="D27" s="7">
        <v>1</v>
      </c>
      <c r="E27" s="7" t="s">
        <v>107</v>
      </c>
      <c r="F27" s="35">
        <f t="shared" si="1"/>
        <v>0</v>
      </c>
      <c r="G27" s="8"/>
      <c r="H27" s="8"/>
      <c r="I27" s="8"/>
      <c r="J27" s="8"/>
      <c r="K27" s="7" t="s">
        <v>104</v>
      </c>
      <c r="L27" s="34"/>
    </row>
    <row r="28" spans="2:12">
      <c r="B28" s="33" t="s">
        <v>136</v>
      </c>
      <c r="C28" s="34" t="s">
        <v>137</v>
      </c>
      <c r="D28" s="7">
        <v>1</v>
      </c>
      <c r="E28" s="7" t="s">
        <v>107</v>
      </c>
      <c r="F28" s="35">
        <f t="shared" si="1"/>
        <v>0</v>
      </c>
      <c r="G28" s="8"/>
      <c r="H28" s="8"/>
      <c r="I28" s="8"/>
      <c r="J28" s="8"/>
      <c r="K28" s="7" t="s">
        <v>104</v>
      </c>
      <c r="L28" s="34"/>
    </row>
    <row r="29" spans="2:12">
      <c r="B29" s="33" t="s">
        <v>138</v>
      </c>
      <c r="C29" s="34" t="s">
        <v>139</v>
      </c>
      <c r="D29" s="7">
        <v>1</v>
      </c>
      <c r="E29" s="7" t="s">
        <v>107</v>
      </c>
      <c r="F29" s="35">
        <f t="shared" si="1"/>
        <v>0</v>
      </c>
      <c r="G29" s="8"/>
      <c r="H29" s="8"/>
      <c r="I29" s="8"/>
      <c r="J29" s="8"/>
      <c r="K29" s="7" t="s">
        <v>104</v>
      </c>
      <c r="L29" s="34"/>
    </row>
    <row r="30" spans="2:12">
      <c r="B30" s="28"/>
      <c r="C30" s="29" t="s">
        <v>140</v>
      </c>
      <c r="D30" s="30">
        <f>SUMIF($E31:$E36,"&lt;&gt;N/A",$D31:$D36)</f>
        <v>6</v>
      </c>
      <c r="E30" s="28"/>
      <c r="F30" s="31" cm="1">
        <f t="array" ref="F30">IFERROR(SUMPRODUCT(($E31:$E36&lt;&gt;"N/A")*$D31:$D36,IF($E31:$E36="N/A",0,$F31:$F36))/$D30,0)</f>
        <v>0</v>
      </c>
      <c r="G30" s="32">
        <v>46212</v>
      </c>
      <c r="H30" s="32">
        <v>46213</v>
      </c>
      <c r="I30" s="28"/>
      <c r="J30" s="28"/>
      <c r="K30" s="2"/>
      <c r="L30" s="28"/>
    </row>
    <row r="31" spans="2:12">
      <c r="B31" s="33" t="s">
        <v>141</v>
      </c>
      <c r="C31" s="34" t="s">
        <v>142</v>
      </c>
      <c r="D31" s="7">
        <v>1</v>
      </c>
      <c r="E31" s="7" t="s">
        <v>107</v>
      </c>
      <c r="F31" s="35">
        <f t="shared" ref="F31:F36" si="2">IF($E31="N/A","",VLOOKUP($E31,AvanceTbl,2,FALSE()))</f>
        <v>0</v>
      </c>
      <c r="G31" s="8"/>
      <c r="H31" s="8"/>
      <c r="I31" s="8"/>
      <c r="J31" s="8"/>
      <c r="K31" s="7" t="s">
        <v>104</v>
      </c>
      <c r="L31" s="34"/>
    </row>
    <row r="32" spans="2:12">
      <c r="B32" s="33" t="s">
        <v>143</v>
      </c>
      <c r="C32" s="34" t="s">
        <v>144</v>
      </c>
      <c r="D32" s="7">
        <v>1</v>
      </c>
      <c r="E32" s="7" t="s">
        <v>107</v>
      </c>
      <c r="F32" s="35">
        <f t="shared" si="2"/>
        <v>0</v>
      </c>
      <c r="G32" s="8"/>
      <c r="H32" s="8"/>
      <c r="I32" s="8"/>
      <c r="J32" s="8"/>
      <c r="K32" s="7" t="s">
        <v>104</v>
      </c>
      <c r="L32" s="34"/>
    </row>
    <row r="33" spans="2:12">
      <c r="B33" s="33" t="s">
        <v>145</v>
      </c>
      <c r="C33" s="34" t="s">
        <v>146</v>
      </c>
      <c r="D33" s="7">
        <v>1</v>
      </c>
      <c r="E33" s="7" t="s">
        <v>107</v>
      </c>
      <c r="F33" s="35">
        <f t="shared" si="2"/>
        <v>0</v>
      </c>
      <c r="G33" s="8"/>
      <c r="H33" s="8"/>
      <c r="I33" s="8"/>
      <c r="J33" s="8"/>
      <c r="K33" s="7" t="s">
        <v>104</v>
      </c>
      <c r="L33" s="34"/>
    </row>
    <row r="34" spans="2:12">
      <c r="B34" s="33" t="s">
        <v>147</v>
      </c>
      <c r="C34" s="34" t="s">
        <v>148</v>
      </c>
      <c r="D34" s="7">
        <v>1</v>
      </c>
      <c r="E34" s="7" t="s">
        <v>107</v>
      </c>
      <c r="F34" s="35">
        <f t="shared" si="2"/>
        <v>0</v>
      </c>
      <c r="G34" s="8"/>
      <c r="H34" s="8"/>
      <c r="I34" s="8"/>
      <c r="J34" s="8"/>
      <c r="K34" s="7" t="s">
        <v>104</v>
      </c>
      <c r="L34" s="34"/>
    </row>
    <row r="35" spans="2:12">
      <c r="B35" s="33" t="s">
        <v>149</v>
      </c>
      <c r="C35" s="34" t="s">
        <v>150</v>
      </c>
      <c r="D35" s="7">
        <v>1</v>
      </c>
      <c r="E35" s="7" t="s">
        <v>107</v>
      </c>
      <c r="F35" s="35">
        <f t="shared" si="2"/>
        <v>0</v>
      </c>
      <c r="G35" s="8"/>
      <c r="H35" s="8"/>
      <c r="I35" s="8"/>
      <c r="J35" s="8"/>
      <c r="K35" s="7" t="s">
        <v>104</v>
      </c>
      <c r="L35" s="34"/>
    </row>
    <row r="36" spans="2:12">
      <c r="B36" s="33" t="s">
        <v>151</v>
      </c>
      <c r="C36" s="34" t="s">
        <v>152</v>
      </c>
      <c r="D36" s="7">
        <v>1</v>
      </c>
      <c r="E36" s="7" t="s">
        <v>107</v>
      </c>
      <c r="F36" s="35">
        <f t="shared" si="2"/>
        <v>0</v>
      </c>
      <c r="G36" s="8"/>
      <c r="H36" s="8"/>
      <c r="I36" s="8"/>
      <c r="J36" s="8"/>
      <c r="K36" s="7" t="s">
        <v>104</v>
      </c>
      <c r="L36" s="34"/>
    </row>
    <row r="37" spans="2:12">
      <c r="B37" s="28"/>
      <c r="C37" s="29" t="s">
        <v>153</v>
      </c>
      <c r="D37" s="30">
        <f>SUMIF($E38:$E42,"&lt;&gt;N/A",$D38:$D42)</f>
        <v>5</v>
      </c>
      <c r="E37" s="28"/>
      <c r="F37" s="31" cm="1">
        <f t="array" ref="F37">IFERROR(SUMPRODUCT(($E38:$E42&lt;&gt;"N/A")*$D38:$D42,IF($E38:$E42="N/A",0,$F38:$F42))/$D37,0)</f>
        <v>0</v>
      </c>
      <c r="G37" s="32">
        <v>46217</v>
      </c>
      <c r="H37" s="32">
        <v>46217</v>
      </c>
      <c r="I37" s="28"/>
      <c r="J37" s="28"/>
      <c r="K37" s="2"/>
      <c r="L37" s="28"/>
    </row>
    <row r="38" spans="2:12">
      <c r="B38" s="33" t="s">
        <v>154</v>
      </c>
      <c r="C38" s="34" t="s">
        <v>155</v>
      </c>
      <c r="D38" s="7">
        <v>1</v>
      </c>
      <c r="E38" s="7" t="s">
        <v>107</v>
      </c>
      <c r="F38" s="35">
        <f>IF($E38="N/A","",VLOOKUP($E38,AvanceTbl,2,FALSE()))</f>
        <v>0</v>
      </c>
      <c r="G38" s="8"/>
      <c r="H38" s="8"/>
      <c r="I38" s="8"/>
      <c r="J38" s="8"/>
      <c r="K38" s="7" t="s">
        <v>104</v>
      </c>
      <c r="L38" s="34"/>
    </row>
    <row r="39" spans="2:12">
      <c r="B39" s="33" t="s">
        <v>156</v>
      </c>
      <c r="C39" s="34" t="s">
        <v>157</v>
      </c>
      <c r="D39" s="7">
        <v>1</v>
      </c>
      <c r="E39" s="7" t="s">
        <v>107</v>
      </c>
      <c r="F39" s="35">
        <f>IF($E39="N/A","",VLOOKUP($E39,AvanceTbl,2,FALSE()))</f>
        <v>0</v>
      </c>
      <c r="G39" s="8"/>
      <c r="H39" s="8"/>
      <c r="I39" s="8"/>
      <c r="J39" s="8"/>
      <c r="K39" s="7" t="s">
        <v>104</v>
      </c>
      <c r="L39" s="34"/>
    </row>
    <row r="40" spans="2:12">
      <c r="B40" s="33" t="s">
        <v>158</v>
      </c>
      <c r="C40" s="34" t="s">
        <v>159</v>
      </c>
      <c r="D40" s="7">
        <v>1</v>
      </c>
      <c r="E40" s="7" t="s">
        <v>107</v>
      </c>
      <c r="F40" s="35">
        <f>IF($E40="N/A","",VLOOKUP($E40,AvanceTbl,2,FALSE()))</f>
        <v>0</v>
      </c>
      <c r="G40" s="8"/>
      <c r="H40" s="8"/>
      <c r="I40" s="8"/>
      <c r="J40" s="8"/>
      <c r="K40" s="7" t="s">
        <v>104</v>
      </c>
      <c r="L40" s="34"/>
    </row>
    <row r="41" spans="2:12">
      <c r="B41" s="33" t="s">
        <v>160</v>
      </c>
      <c r="C41" s="34" t="s">
        <v>161</v>
      </c>
      <c r="D41" s="7">
        <v>1</v>
      </c>
      <c r="E41" s="7" t="s">
        <v>107</v>
      </c>
      <c r="F41" s="35">
        <f>IF($E41="N/A","",VLOOKUP($E41,AvanceTbl,2,FALSE()))</f>
        <v>0</v>
      </c>
      <c r="G41" s="8"/>
      <c r="H41" s="8"/>
      <c r="I41" s="8"/>
      <c r="J41" s="8"/>
      <c r="K41" s="7" t="s">
        <v>104</v>
      </c>
      <c r="L41" s="34"/>
    </row>
    <row r="42" spans="2:12">
      <c r="B42" s="33" t="s">
        <v>162</v>
      </c>
      <c r="C42" s="34" t="s">
        <v>163</v>
      </c>
      <c r="D42" s="7">
        <v>1</v>
      </c>
      <c r="E42" s="7" t="s">
        <v>107</v>
      </c>
      <c r="F42" s="35">
        <f>IF($E42="N/A","",VLOOKUP($E42,AvanceTbl,2,FALSE()))</f>
        <v>0</v>
      </c>
      <c r="G42" s="8"/>
      <c r="H42" s="8"/>
      <c r="I42" s="8"/>
      <c r="J42" s="8"/>
      <c r="K42" s="7" t="s">
        <v>101</v>
      </c>
      <c r="L42" s="34"/>
    </row>
    <row r="43" spans="2:12">
      <c r="B43" s="28"/>
      <c r="C43" s="29" t="s">
        <v>164</v>
      </c>
      <c r="D43" s="30">
        <f>SUMIF($E44:$E46,"&lt;&gt;N/A",$D44:$D46)</f>
        <v>3</v>
      </c>
      <c r="E43" s="28"/>
      <c r="F43" s="31" cm="1">
        <f t="array" ref="F43">IFERROR(SUMPRODUCT(($E44:$E46&lt;&gt;"N/A")*$D44:$D46,IF($E44:$E46="N/A",0,$F44:$F46))/$D43,0)</f>
        <v>0</v>
      </c>
      <c r="G43" s="32">
        <v>46217</v>
      </c>
      <c r="H43" s="32">
        <v>46217</v>
      </c>
      <c r="I43" s="28"/>
      <c r="J43" s="28"/>
      <c r="K43" s="2"/>
      <c r="L43" s="28"/>
    </row>
    <row r="44" spans="2:12">
      <c r="B44" s="33" t="s">
        <v>165</v>
      </c>
      <c r="C44" s="34" t="s">
        <v>166</v>
      </c>
      <c r="D44" s="7">
        <v>1</v>
      </c>
      <c r="E44" s="7" t="s">
        <v>107</v>
      </c>
      <c r="F44" s="35">
        <f>IF($E44="N/A","",VLOOKUP($E44,AvanceTbl,2,FALSE()))</f>
        <v>0</v>
      </c>
      <c r="G44" s="8"/>
      <c r="H44" s="8"/>
      <c r="I44" s="8"/>
      <c r="J44" s="8"/>
      <c r="K44" s="7" t="s">
        <v>104</v>
      </c>
      <c r="L44" s="34"/>
    </row>
    <row r="45" spans="2:12">
      <c r="B45" s="33" t="s">
        <v>167</v>
      </c>
      <c r="C45" s="34" t="s">
        <v>168</v>
      </c>
      <c r="D45" s="7">
        <v>1</v>
      </c>
      <c r="E45" s="7" t="s">
        <v>107</v>
      </c>
      <c r="F45" s="35">
        <f>IF($E45="N/A","",VLOOKUP($E45,AvanceTbl,2,FALSE()))</f>
        <v>0</v>
      </c>
      <c r="G45" s="8"/>
      <c r="H45" s="8"/>
      <c r="I45" s="8"/>
      <c r="J45" s="8"/>
      <c r="K45" s="7" t="s">
        <v>101</v>
      </c>
      <c r="L45" s="34"/>
    </row>
    <row r="46" spans="2:12">
      <c r="B46" s="33" t="s">
        <v>169</v>
      </c>
      <c r="C46" s="34" t="s">
        <v>170</v>
      </c>
      <c r="D46" s="7">
        <v>1</v>
      </c>
      <c r="E46" s="7" t="s">
        <v>107</v>
      </c>
      <c r="F46" s="35">
        <f>IF($E46="N/A","",VLOOKUP($E46,AvanceTbl,2,FALSE()))</f>
        <v>0</v>
      </c>
      <c r="G46" s="8"/>
      <c r="H46" s="8"/>
      <c r="I46" s="8"/>
      <c r="J46" s="8"/>
      <c r="K46" s="7" t="s">
        <v>101</v>
      </c>
      <c r="L46" s="34"/>
    </row>
    <row r="47" spans="2:12">
      <c r="B47" s="28"/>
      <c r="C47" s="29" t="s">
        <v>171</v>
      </c>
      <c r="D47" s="30">
        <f>SUMIF($E48:$E51,"&lt;&gt;N/A",$D48:$D51)</f>
        <v>4</v>
      </c>
      <c r="E47" s="28"/>
      <c r="F47" s="31" cm="1">
        <f t="array" ref="F47">IFERROR(SUMPRODUCT(($E48:$E51&lt;&gt;"N/A")*$D48:$D51,IF($E48:$E51="N/A",0,$F48:$F51))/$D47,0)</f>
        <v>0</v>
      </c>
      <c r="G47" s="32">
        <v>46217</v>
      </c>
      <c r="H47" s="32">
        <v>46217</v>
      </c>
      <c r="I47" s="28"/>
      <c r="J47" s="28"/>
      <c r="K47" s="2"/>
      <c r="L47" s="28"/>
    </row>
    <row r="48" spans="2:12">
      <c r="B48" s="33" t="s">
        <v>172</v>
      </c>
      <c r="C48" s="34" t="s">
        <v>173</v>
      </c>
      <c r="D48" s="7">
        <v>1</v>
      </c>
      <c r="E48" s="7" t="s">
        <v>107</v>
      </c>
      <c r="F48" s="35">
        <f>IF($E48="N/A","",VLOOKUP($E48,AvanceTbl,2,FALSE()))</f>
        <v>0</v>
      </c>
      <c r="G48" s="8"/>
      <c r="H48" s="8"/>
      <c r="I48" s="8"/>
      <c r="J48" s="8"/>
      <c r="K48" s="7" t="s">
        <v>104</v>
      </c>
      <c r="L48" s="34"/>
    </row>
    <row r="49" spans="2:12" ht="26.45">
      <c r="B49" s="33" t="s">
        <v>174</v>
      </c>
      <c r="C49" s="34" t="s">
        <v>175</v>
      </c>
      <c r="D49" s="7">
        <v>1</v>
      </c>
      <c r="E49" s="7" t="s">
        <v>107</v>
      </c>
      <c r="F49" s="35">
        <f>IF($E49="N/A","",VLOOKUP($E49,AvanceTbl,2,FALSE()))</f>
        <v>0</v>
      </c>
      <c r="G49" s="8"/>
      <c r="H49" s="8"/>
      <c r="I49" s="8"/>
      <c r="J49" s="8"/>
      <c r="K49" s="7" t="s">
        <v>104</v>
      </c>
      <c r="L49" s="34"/>
    </row>
    <row r="50" spans="2:12">
      <c r="B50" s="33" t="s">
        <v>176</v>
      </c>
      <c r="C50" s="34" t="s">
        <v>177</v>
      </c>
      <c r="D50" s="7">
        <v>1</v>
      </c>
      <c r="E50" s="7" t="s">
        <v>107</v>
      </c>
      <c r="F50" s="35">
        <f>IF($E50="N/A","",VLOOKUP($E50,AvanceTbl,2,FALSE()))</f>
        <v>0</v>
      </c>
      <c r="G50" s="8"/>
      <c r="H50" s="8"/>
      <c r="I50" s="8"/>
      <c r="J50" s="8"/>
      <c r="K50" s="7" t="s">
        <v>104</v>
      </c>
      <c r="L50" s="34"/>
    </row>
    <row r="51" spans="2:12">
      <c r="B51" s="33" t="s">
        <v>178</v>
      </c>
      <c r="C51" s="34" t="s">
        <v>179</v>
      </c>
      <c r="D51" s="7">
        <v>1</v>
      </c>
      <c r="E51" s="7" t="s">
        <v>107</v>
      </c>
      <c r="F51" s="35">
        <f>IF($E51="N/A","",VLOOKUP($E51,AvanceTbl,2,FALSE()))</f>
        <v>0</v>
      </c>
      <c r="G51" s="8"/>
      <c r="H51" s="8"/>
      <c r="I51" s="8"/>
      <c r="J51" s="8"/>
      <c r="K51" s="7" t="s">
        <v>101</v>
      </c>
      <c r="L51" s="34"/>
    </row>
    <row r="52" spans="2:12">
      <c r="B52" s="28"/>
      <c r="C52" s="29" t="s">
        <v>180</v>
      </c>
      <c r="D52" s="30">
        <f>SUMIF($E53:$E56,"&lt;&gt;N/A",$D53:$D56)</f>
        <v>4</v>
      </c>
      <c r="E52" s="28"/>
      <c r="F52" s="31" cm="1">
        <f t="array" ref="F52">IFERROR(SUMPRODUCT(($E53:$E56&lt;&gt;"N/A")*$D53:$D56,IF($E53:$E56="N/A",0,$F53:$F56))/$D52,0)</f>
        <v>0</v>
      </c>
      <c r="G52" s="32">
        <v>46217</v>
      </c>
      <c r="H52" s="32">
        <v>46217</v>
      </c>
      <c r="I52" s="28"/>
      <c r="J52" s="28"/>
      <c r="K52" s="2"/>
      <c r="L52" s="28"/>
    </row>
    <row r="53" spans="2:12">
      <c r="B53" s="33" t="s">
        <v>181</v>
      </c>
      <c r="C53" s="34" t="s">
        <v>182</v>
      </c>
      <c r="D53" s="7">
        <v>1</v>
      </c>
      <c r="E53" s="7" t="s">
        <v>107</v>
      </c>
      <c r="F53" s="35">
        <f>IF($E53="N/A","",VLOOKUP($E53,AvanceTbl,2,FALSE()))</f>
        <v>0</v>
      </c>
      <c r="G53" s="8"/>
      <c r="H53" s="8"/>
      <c r="I53" s="8"/>
      <c r="J53" s="8"/>
      <c r="K53" s="7" t="s">
        <v>101</v>
      </c>
      <c r="L53" s="34"/>
    </row>
    <row r="54" spans="2:12">
      <c r="B54" s="33" t="s">
        <v>183</v>
      </c>
      <c r="C54" s="34" t="s">
        <v>184</v>
      </c>
      <c r="D54" s="7">
        <v>1</v>
      </c>
      <c r="E54" s="7" t="s">
        <v>107</v>
      </c>
      <c r="F54" s="35">
        <f>IF($E54="N/A","",VLOOKUP($E54,AvanceTbl,2,FALSE()))</f>
        <v>0</v>
      </c>
      <c r="G54" s="8"/>
      <c r="H54" s="8"/>
      <c r="I54" s="8"/>
      <c r="J54" s="8"/>
      <c r="K54" s="7" t="s">
        <v>101</v>
      </c>
      <c r="L54" s="34"/>
    </row>
    <row r="55" spans="2:12">
      <c r="B55" s="33" t="s">
        <v>185</v>
      </c>
      <c r="C55" s="34" t="s">
        <v>186</v>
      </c>
      <c r="D55" s="7">
        <v>1</v>
      </c>
      <c r="E55" s="7" t="s">
        <v>107</v>
      </c>
      <c r="F55" s="35">
        <f>IF($E55="N/A","",VLOOKUP($E55,AvanceTbl,2,FALSE()))</f>
        <v>0</v>
      </c>
      <c r="G55" s="8"/>
      <c r="H55" s="8"/>
      <c r="I55" s="8"/>
      <c r="J55" s="8"/>
      <c r="K55" s="7" t="s">
        <v>101</v>
      </c>
      <c r="L55" s="34"/>
    </row>
    <row r="56" spans="2:12">
      <c r="B56" s="33" t="s">
        <v>187</v>
      </c>
      <c r="C56" s="34" t="s">
        <v>188</v>
      </c>
      <c r="D56" s="7">
        <v>1</v>
      </c>
      <c r="E56" s="7" t="s">
        <v>107</v>
      </c>
      <c r="F56" s="35">
        <f>IF($E56="N/A","",VLOOKUP($E56,AvanceTbl,2,FALSE()))</f>
        <v>0</v>
      </c>
      <c r="G56" s="8"/>
      <c r="H56" s="8"/>
      <c r="I56" s="8"/>
      <c r="J56" s="8"/>
      <c r="K56" s="7" t="s">
        <v>189</v>
      </c>
      <c r="L56" s="34"/>
    </row>
  </sheetData>
  <mergeCells count="9">
    <mergeCell ref="B7:F7"/>
    <mergeCell ref="G7:L7"/>
    <mergeCell ref="B2:L2"/>
    <mergeCell ref="C4:E4"/>
    <mergeCell ref="G4:H4"/>
    <mergeCell ref="J4:L4"/>
    <mergeCell ref="C5:E5"/>
    <mergeCell ref="G5:H5"/>
    <mergeCell ref="J5:L5"/>
  </mergeCells>
  <conditionalFormatting sqref="E10:E56">
    <cfRule type="cellIs" dxfId="41" priority="2" operator="equal">
      <formula>"Completado"</formula>
    </cfRule>
    <cfRule type="cellIs" dxfId="40" priority="3" operator="equal">
      <formula>"En proceso"</formula>
    </cfRule>
    <cfRule type="cellIs" dxfId="39" priority="4" operator="equal">
      <formula>"Pendiente"</formula>
    </cfRule>
  </conditionalFormatting>
  <conditionalFormatting sqref="F10:F56">
    <cfRule type="dataBar" priority="5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{A48C991B-606C-4662-A4B0-3067831FFDBF}</x14:id>
        </ext>
      </extLst>
    </cfRule>
  </conditionalFormatting>
  <conditionalFormatting sqref="G11:G15">
    <cfRule type="expression" dxfId="38" priority="6">
      <formula>AND($G11&lt;&gt;"",$G11&lt;TODAY(),$E11&lt;&gt;"Completado",$E11&lt;&gt;"N/A")</formula>
    </cfRule>
  </conditionalFormatting>
  <conditionalFormatting sqref="G17:G22">
    <cfRule type="expression" dxfId="37" priority="11">
      <formula>AND($G17&lt;&gt;"",$G17&lt;TODAY(),$E17&lt;&gt;"Completado",$E17&lt;&gt;"N/A")</formula>
    </cfRule>
  </conditionalFormatting>
  <conditionalFormatting sqref="G24:G29">
    <cfRule type="expression" dxfId="36" priority="17">
      <formula>AND($G24&lt;&gt;"",$G24&lt;TODAY(),$E24&lt;&gt;"Completado",$E24&lt;&gt;"N/A")</formula>
    </cfRule>
  </conditionalFormatting>
  <conditionalFormatting sqref="G31:G36">
    <cfRule type="expression" dxfId="35" priority="23">
      <formula>AND($G31&lt;&gt;"",$G31&lt;TODAY(),$E31&lt;&gt;"Completado",$E31&lt;&gt;"N/A")</formula>
    </cfRule>
  </conditionalFormatting>
  <conditionalFormatting sqref="G38:G42">
    <cfRule type="expression" dxfId="34" priority="29">
      <formula>AND($G38&lt;&gt;"",$G38&lt;TODAY(),$E38&lt;&gt;"Completado",$E38&lt;&gt;"N/A")</formula>
    </cfRule>
  </conditionalFormatting>
  <conditionalFormatting sqref="G44:G46">
    <cfRule type="expression" dxfId="33" priority="34">
      <formula>AND($G44&lt;&gt;"",$G44&lt;TODAY(),$E44&lt;&gt;"Completado",$E44&lt;&gt;"N/A")</formula>
    </cfRule>
  </conditionalFormatting>
  <conditionalFormatting sqref="G48:G51">
    <cfRule type="expression" dxfId="32" priority="37">
      <formula>AND($G48&lt;&gt;"",$G48&lt;TODAY(),$E48&lt;&gt;"Completado",$E48&lt;&gt;"N/A")</formula>
    </cfRule>
  </conditionalFormatting>
  <conditionalFormatting sqref="G53:G56">
    <cfRule type="expression" dxfId="31" priority="41">
      <formula>AND($G53&lt;&gt;"",$G53&lt;TODAY(),$E53&lt;&gt;"Completado",$E53&lt;&gt;"N/A")</formula>
    </cfRule>
  </conditionalFormatting>
  <dataValidations count="1">
    <dataValidation type="list" allowBlank="1" sqref="E11:E15 E17:E22 E24:E29 E31:E36 E38:E42 E44:E46 E48:E51 E53:E56" xr:uid="{00000000-0002-0000-0400-000000000000}">
      <formula1>EstadoList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48C991B-606C-4662-A4B0-3067831FFDBF}">
            <x14:dataBar axisPosition="none">
              <x14:cfvo type="num">
                <xm:f>0</xm:f>
              </x14:cfvo>
              <x14:cfvo type="num">
                <xm:f>1</xm:f>
              </x14:cfvo>
              <x14:negativeFillColor rgb="FF63C384"/>
            </x14:dataBar>
          </x14:cfRule>
          <xm:sqref>F10:F56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2E5496"/>
  </sheetPr>
  <dimension ref="B2:L56"/>
  <sheetViews>
    <sheetView showGridLines="0" zoomScaleNormal="100" workbookViewId="0">
      <pane xSplit="6" ySplit="9" topLeftCell="G10" activePane="bottomRight" state="frozen"/>
      <selection pane="bottomRight" activeCell="E35" sqref="E35"/>
      <selection pane="bottomLeft" activeCell="A10" sqref="A10"/>
      <selection pane="topRight" activeCell="G1" sqref="G1"/>
    </sheetView>
  </sheetViews>
  <sheetFormatPr defaultColWidth="8.7109375" defaultRowHeight="14.45"/>
  <cols>
    <col min="1" max="1" width="2" customWidth="1"/>
    <col min="2" max="2" width="6" customWidth="1"/>
    <col min="3" max="3" width="48.28515625" bestFit="1" customWidth="1"/>
    <col min="4" max="4" width="7" customWidth="1"/>
    <col min="5" max="5" width="13" customWidth="1"/>
    <col min="6" max="6" width="9" customWidth="1"/>
    <col min="7" max="10" width="12" customWidth="1"/>
    <col min="11" max="11" width="15" customWidth="1"/>
    <col min="12" max="12" width="30" customWidth="1"/>
  </cols>
  <sheetData>
    <row r="2" spans="2:12" ht="17.45">
      <c r="B2" s="47" t="s">
        <v>195</v>
      </c>
      <c r="C2" s="47"/>
      <c r="D2" s="47"/>
      <c r="E2" s="47"/>
      <c r="F2" s="47"/>
      <c r="G2" s="47"/>
      <c r="H2" s="47"/>
      <c r="I2" s="47"/>
      <c r="J2" s="47"/>
      <c r="K2" s="47"/>
      <c r="L2" s="47"/>
    </row>
    <row r="4" spans="2:12">
      <c r="B4" s="27" t="s">
        <v>80</v>
      </c>
      <c r="C4" s="48"/>
      <c r="D4" s="48"/>
      <c r="E4" s="48"/>
      <c r="F4" s="27" t="s">
        <v>81</v>
      </c>
      <c r="G4" s="48" t="s">
        <v>14</v>
      </c>
      <c r="H4" s="48"/>
      <c r="I4" s="27" t="s">
        <v>82</v>
      </c>
      <c r="J4" s="48"/>
      <c r="K4" s="48"/>
      <c r="L4" s="48"/>
    </row>
    <row r="5" spans="2:12">
      <c r="B5" s="27" t="s">
        <v>83</v>
      </c>
      <c r="C5" s="48"/>
      <c r="D5" s="48"/>
      <c r="E5" s="48"/>
      <c r="F5" s="27" t="s">
        <v>84</v>
      </c>
      <c r="G5" s="48"/>
      <c r="H5" s="48"/>
      <c r="I5" s="27" t="s">
        <v>85</v>
      </c>
      <c r="J5" s="48"/>
      <c r="K5" s="48"/>
      <c r="L5" s="48"/>
    </row>
    <row r="7" spans="2:12" ht="21">
      <c r="B7" s="45" t="s">
        <v>86</v>
      </c>
      <c r="C7" s="45"/>
      <c r="D7" s="45"/>
      <c r="E7" s="45"/>
      <c r="F7" s="45"/>
      <c r="G7" s="46">
        <f>IFERROR(($D10*$F10+$D16*$F16+$D23*$F23+$D30*$F30+$D37*$F37+$D43*$F43+$D47*$F47+$D52*$F52)/($D10+$D16+$D23+$D30+$D37+$D43+$D47+$D52),0)</f>
        <v>0.20512820512820512</v>
      </c>
      <c r="H7" s="46"/>
      <c r="I7" s="46"/>
      <c r="J7" s="46"/>
      <c r="K7" s="46"/>
      <c r="L7" s="46"/>
    </row>
    <row r="9" spans="2:12">
      <c r="B9" s="4" t="s">
        <v>87</v>
      </c>
      <c r="C9" s="4" t="s">
        <v>88</v>
      </c>
      <c r="D9" s="4" t="s">
        <v>89</v>
      </c>
      <c r="E9" s="4" t="s">
        <v>90</v>
      </c>
      <c r="F9" s="4" t="s">
        <v>91</v>
      </c>
      <c r="G9" s="4" t="s">
        <v>5</v>
      </c>
      <c r="H9" s="4" t="s">
        <v>92</v>
      </c>
      <c r="I9" s="4" t="s">
        <v>93</v>
      </c>
      <c r="J9" s="4" t="s">
        <v>94</v>
      </c>
      <c r="K9" s="4" t="s">
        <v>95</v>
      </c>
      <c r="L9" s="4" t="s">
        <v>96</v>
      </c>
    </row>
    <row r="10" spans="2:12">
      <c r="B10" s="28"/>
      <c r="C10" s="29" t="s">
        <v>97</v>
      </c>
      <c r="D10" s="30">
        <f>SUMIF($E11:$E15,"&lt;&gt;N/A",$D11:$D15)</f>
        <v>5</v>
      </c>
      <c r="E10" s="28"/>
      <c r="F10" s="31" cm="1">
        <f t="array" ref="F10">IFERROR(SUMPRODUCT(($E11:$E15&lt;&gt;"N/A")*$D11:$D15,IF($E11:$E15="N/A",0,$F11:$F15))/$D10,0)</f>
        <v>0.5</v>
      </c>
      <c r="G10" s="32">
        <v>46202</v>
      </c>
      <c r="H10" s="32">
        <v>46205</v>
      </c>
      <c r="I10" s="28"/>
      <c r="J10" s="28"/>
      <c r="K10" s="28"/>
      <c r="L10" s="28"/>
    </row>
    <row r="11" spans="2:12" ht="26.45">
      <c r="B11" s="33" t="s">
        <v>98</v>
      </c>
      <c r="C11" s="34" t="s">
        <v>99</v>
      </c>
      <c r="D11" s="7">
        <v>1</v>
      </c>
      <c r="E11" s="7" t="s">
        <v>100</v>
      </c>
      <c r="F11" s="35">
        <f>IF($E11="N/A","",VLOOKUP($E11,AvanceTbl,2,FALSE()))</f>
        <v>1</v>
      </c>
      <c r="G11" s="8"/>
      <c r="H11" s="8"/>
      <c r="I11" s="8"/>
      <c r="J11" s="8"/>
      <c r="K11" s="7" t="s">
        <v>101</v>
      </c>
      <c r="L11" s="34"/>
    </row>
    <row r="12" spans="2:12">
      <c r="B12" s="33" t="s">
        <v>102</v>
      </c>
      <c r="C12" s="34" t="s">
        <v>103</v>
      </c>
      <c r="D12" s="7">
        <v>1</v>
      </c>
      <c r="E12" s="7" t="s">
        <v>100</v>
      </c>
      <c r="F12" s="35">
        <f>IF($E12="N/A","",VLOOKUP($E12,AvanceTbl,2,FALSE()))</f>
        <v>1</v>
      </c>
      <c r="G12" s="8"/>
      <c r="H12" s="8"/>
      <c r="I12" s="8"/>
      <c r="J12" s="8"/>
      <c r="K12" s="7" t="s">
        <v>104</v>
      </c>
      <c r="L12" s="34"/>
    </row>
    <row r="13" spans="2:12">
      <c r="B13" s="33" t="s">
        <v>105</v>
      </c>
      <c r="C13" s="34" t="s">
        <v>106</v>
      </c>
      <c r="D13" s="7">
        <v>1</v>
      </c>
      <c r="E13" s="7" t="s">
        <v>129</v>
      </c>
      <c r="F13" s="35">
        <f>IF($E13="N/A","",VLOOKUP($E13,AvanceTbl,2,FALSE()))</f>
        <v>0.5</v>
      </c>
      <c r="G13" s="8"/>
      <c r="H13" s="8"/>
      <c r="I13" s="8"/>
      <c r="J13" s="8"/>
      <c r="K13" s="7" t="s">
        <v>104</v>
      </c>
      <c r="L13" s="34"/>
    </row>
    <row r="14" spans="2:12">
      <c r="B14" s="33" t="s">
        <v>108</v>
      </c>
      <c r="C14" s="34" t="s">
        <v>109</v>
      </c>
      <c r="D14" s="7">
        <v>1</v>
      </c>
      <c r="E14" s="7" t="s">
        <v>107</v>
      </c>
      <c r="F14" s="35">
        <f>IF($E14="N/A","",VLOOKUP($E14,AvanceTbl,2,FALSE()))</f>
        <v>0</v>
      </c>
      <c r="G14" s="8"/>
      <c r="H14" s="8"/>
      <c r="I14" s="8"/>
      <c r="J14" s="8"/>
      <c r="K14" s="7" t="s">
        <v>104</v>
      </c>
      <c r="L14" s="34"/>
    </row>
    <row r="15" spans="2:12">
      <c r="B15" s="33" t="s">
        <v>110</v>
      </c>
      <c r="C15" s="34" t="s">
        <v>111</v>
      </c>
      <c r="D15" s="7">
        <v>1</v>
      </c>
      <c r="E15" s="7" t="s">
        <v>107</v>
      </c>
      <c r="F15" s="35">
        <f>IF($E15="N/A","",VLOOKUP($E15,AvanceTbl,2,FALSE()))</f>
        <v>0</v>
      </c>
      <c r="G15" s="8"/>
      <c r="H15" s="8"/>
      <c r="I15" s="8"/>
      <c r="J15" s="8"/>
      <c r="K15" s="7" t="s">
        <v>101</v>
      </c>
      <c r="L15" s="34"/>
    </row>
    <row r="16" spans="2:12">
      <c r="B16" s="28"/>
      <c r="C16" s="29" t="s">
        <v>112</v>
      </c>
      <c r="D16" s="30">
        <f>SUMIF($E17:$E22,"&lt;&gt;N/A",$D17:$D22)</f>
        <v>6</v>
      </c>
      <c r="E16" s="28"/>
      <c r="F16" s="31" cm="1">
        <f t="array" ref="F16">IFERROR(SUMPRODUCT(($E17:$E22&lt;&gt;"N/A")*$D17:$D22,IF($E17:$E22="N/A",0,$F17:$F22))/$D16,0)</f>
        <v>0.5</v>
      </c>
      <c r="G16" s="32">
        <v>46205</v>
      </c>
      <c r="H16" s="32">
        <v>46206</v>
      </c>
      <c r="I16" s="28"/>
      <c r="J16" s="28"/>
      <c r="K16" s="2"/>
      <c r="L16" s="28"/>
    </row>
    <row r="17" spans="2:12" ht="26.45">
      <c r="B17" s="33" t="s">
        <v>113</v>
      </c>
      <c r="C17" s="34" t="s">
        <v>114</v>
      </c>
      <c r="D17" s="7">
        <v>1</v>
      </c>
      <c r="E17" s="7" t="s">
        <v>100</v>
      </c>
      <c r="F17" s="35">
        <f t="shared" ref="F17:F22" si="0">IF($E17="N/A","",VLOOKUP($E17,AvanceTbl,2,FALSE()))</f>
        <v>1</v>
      </c>
      <c r="G17" s="8"/>
      <c r="H17" s="8"/>
      <c r="I17" s="8"/>
      <c r="J17" s="8"/>
      <c r="K17" s="7" t="s">
        <v>101</v>
      </c>
      <c r="L17" s="34"/>
    </row>
    <row r="18" spans="2:12">
      <c r="B18" s="33" t="s">
        <v>115</v>
      </c>
      <c r="C18" s="34" t="s">
        <v>116</v>
      </c>
      <c r="D18" s="7">
        <v>1</v>
      </c>
      <c r="E18" s="7" t="s">
        <v>100</v>
      </c>
      <c r="F18" s="35">
        <f t="shared" si="0"/>
        <v>1</v>
      </c>
      <c r="G18" s="8"/>
      <c r="H18" s="8"/>
      <c r="I18" s="8"/>
      <c r="J18" s="8"/>
      <c r="K18" s="7" t="s">
        <v>104</v>
      </c>
      <c r="L18" s="34"/>
    </row>
    <row r="19" spans="2:12">
      <c r="B19" s="33" t="s">
        <v>117</v>
      </c>
      <c r="C19" s="34" t="s">
        <v>118</v>
      </c>
      <c r="D19" s="7">
        <v>1</v>
      </c>
      <c r="E19" s="7" t="s">
        <v>129</v>
      </c>
      <c r="F19" s="35">
        <f t="shared" si="0"/>
        <v>0.5</v>
      </c>
      <c r="G19" s="8"/>
      <c r="H19" s="8"/>
      <c r="I19" s="8"/>
      <c r="J19" s="8"/>
      <c r="K19" s="7" t="s">
        <v>104</v>
      </c>
      <c r="L19" s="34"/>
    </row>
    <row r="20" spans="2:12">
      <c r="B20" s="33" t="s">
        <v>119</v>
      </c>
      <c r="C20" s="34" t="s">
        <v>120</v>
      </c>
      <c r="D20" s="7">
        <v>1</v>
      </c>
      <c r="E20" s="7" t="s">
        <v>129</v>
      </c>
      <c r="F20" s="35">
        <f t="shared" si="0"/>
        <v>0.5</v>
      </c>
      <c r="G20" s="8"/>
      <c r="H20" s="8"/>
      <c r="I20" s="8"/>
      <c r="J20" s="8"/>
      <c r="K20" s="7" t="s">
        <v>104</v>
      </c>
      <c r="L20" s="34"/>
    </row>
    <row r="21" spans="2:12">
      <c r="B21" s="33" t="s">
        <v>122</v>
      </c>
      <c r="C21" s="34" t="s">
        <v>123</v>
      </c>
      <c r="D21" s="7">
        <v>1</v>
      </c>
      <c r="E21" s="7" t="s">
        <v>107</v>
      </c>
      <c r="F21" s="35">
        <f t="shared" si="0"/>
        <v>0</v>
      </c>
      <c r="G21" s="8"/>
      <c r="H21" s="8"/>
      <c r="I21" s="8"/>
      <c r="J21" s="8"/>
      <c r="K21" s="7" t="s">
        <v>104</v>
      </c>
      <c r="L21" s="34"/>
    </row>
    <row r="22" spans="2:12">
      <c r="B22" s="33" t="s">
        <v>124</v>
      </c>
      <c r="C22" s="34" t="s">
        <v>125</v>
      </c>
      <c r="D22" s="7">
        <v>1</v>
      </c>
      <c r="E22" s="7" t="s">
        <v>107</v>
      </c>
      <c r="F22" s="35">
        <f t="shared" si="0"/>
        <v>0</v>
      </c>
      <c r="G22" s="8"/>
      <c r="H22" s="8"/>
      <c r="I22" s="8"/>
      <c r="J22" s="8"/>
      <c r="K22" s="7" t="s">
        <v>104</v>
      </c>
      <c r="L22" s="34"/>
    </row>
    <row r="23" spans="2:12">
      <c r="B23" s="28"/>
      <c r="C23" s="29" t="s">
        <v>126</v>
      </c>
      <c r="D23" s="30">
        <f>SUMIF($E24:$E29,"&lt;&gt;N/A",$D24:$D29)</f>
        <v>6</v>
      </c>
      <c r="E23" s="28"/>
      <c r="F23" s="31" cm="1">
        <f t="array" ref="F23">IFERROR(SUMPRODUCT(($E24:$E29&lt;&gt;"N/A")*$D24:$D29,IF($E24:$E29="N/A",0,$F24:$F29))/$D23,0)</f>
        <v>8.3333333333333329E-2</v>
      </c>
      <c r="G23" s="32">
        <v>46205</v>
      </c>
      <c r="H23" s="32">
        <v>46206</v>
      </c>
      <c r="I23" s="28"/>
      <c r="J23" s="28"/>
      <c r="K23" s="2"/>
      <c r="L23" s="28"/>
    </row>
    <row r="24" spans="2:12">
      <c r="B24" s="33" t="s">
        <v>127</v>
      </c>
      <c r="C24" s="34" t="s">
        <v>128</v>
      </c>
      <c r="D24" s="7">
        <v>1</v>
      </c>
      <c r="E24" s="7" t="s">
        <v>129</v>
      </c>
      <c r="F24" s="35">
        <f t="shared" ref="F24:F29" si="1">IF($E24="N/A","",VLOOKUP($E24,AvanceTbl,2,FALSE()))</f>
        <v>0.5</v>
      </c>
      <c r="G24" s="8"/>
      <c r="H24" s="8"/>
      <c r="I24" s="8"/>
      <c r="J24" s="8"/>
      <c r="K24" s="7" t="s">
        <v>104</v>
      </c>
      <c r="L24" s="34"/>
    </row>
    <row r="25" spans="2:12">
      <c r="B25" s="33" t="s">
        <v>130</v>
      </c>
      <c r="C25" s="34" t="s">
        <v>131</v>
      </c>
      <c r="D25" s="7">
        <v>1</v>
      </c>
      <c r="E25" s="7" t="s">
        <v>107</v>
      </c>
      <c r="F25" s="35">
        <f t="shared" si="1"/>
        <v>0</v>
      </c>
      <c r="G25" s="8"/>
      <c r="H25" s="8"/>
      <c r="I25" s="8"/>
      <c r="J25" s="8"/>
      <c r="K25" s="7" t="s">
        <v>104</v>
      </c>
      <c r="L25" s="34"/>
    </row>
    <row r="26" spans="2:12">
      <c r="B26" s="33" t="s">
        <v>132</v>
      </c>
      <c r="C26" s="34" t="s">
        <v>133</v>
      </c>
      <c r="D26" s="7">
        <v>1</v>
      </c>
      <c r="E26" s="7" t="s">
        <v>107</v>
      </c>
      <c r="F26" s="35">
        <f t="shared" si="1"/>
        <v>0</v>
      </c>
      <c r="G26" s="8"/>
      <c r="H26" s="8"/>
      <c r="I26" s="8"/>
      <c r="J26" s="8"/>
      <c r="K26" s="7" t="s">
        <v>104</v>
      </c>
      <c r="L26" s="34"/>
    </row>
    <row r="27" spans="2:12">
      <c r="B27" s="33" t="s">
        <v>134</v>
      </c>
      <c r="C27" s="34" t="s">
        <v>135</v>
      </c>
      <c r="D27" s="7">
        <v>1</v>
      </c>
      <c r="E27" s="7" t="s">
        <v>107</v>
      </c>
      <c r="F27" s="35">
        <f t="shared" si="1"/>
        <v>0</v>
      </c>
      <c r="G27" s="8"/>
      <c r="H27" s="8"/>
      <c r="I27" s="8"/>
      <c r="J27" s="8"/>
      <c r="K27" s="7" t="s">
        <v>104</v>
      </c>
      <c r="L27" s="34"/>
    </row>
    <row r="28" spans="2:12">
      <c r="B28" s="33" t="s">
        <v>136</v>
      </c>
      <c r="C28" s="34" t="s">
        <v>137</v>
      </c>
      <c r="D28" s="7">
        <v>1</v>
      </c>
      <c r="E28" s="7" t="s">
        <v>107</v>
      </c>
      <c r="F28" s="35">
        <f t="shared" si="1"/>
        <v>0</v>
      </c>
      <c r="G28" s="8"/>
      <c r="H28" s="8"/>
      <c r="I28" s="8"/>
      <c r="J28" s="8"/>
      <c r="K28" s="7" t="s">
        <v>104</v>
      </c>
      <c r="L28" s="34"/>
    </row>
    <row r="29" spans="2:12">
      <c r="B29" s="33" t="s">
        <v>138</v>
      </c>
      <c r="C29" s="34" t="s">
        <v>139</v>
      </c>
      <c r="D29" s="7">
        <v>1</v>
      </c>
      <c r="E29" s="7" t="s">
        <v>107</v>
      </c>
      <c r="F29" s="35">
        <f t="shared" si="1"/>
        <v>0</v>
      </c>
      <c r="G29" s="8"/>
      <c r="H29" s="8"/>
      <c r="I29" s="8"/>
      <c r="J29" s="8"/>
      <c r="K29" s="7" t="s">
        <v>104</v>
      </c>
      <c r="L29" s="34"/>
    </row>
    <row r="30" spans="2:12">
      <c r="B30" s="28"/>
      <c r="C30" s="29" t="s">
        <v>140</v>
      </c>
      <c r="D30" s="30">
        <f>SUMIF($E31:$E36,"&lt;&gt;N/A",$D31:$D36)</f>
        <v>6</v>
      </c>
      <c r="E30" s="28"/>
      <c r="F30" s="31" cm="1">
        <f t="array" ref="F30">IFERROR(SUMPRODUCT(($E31:$E36&lt;&gt;"N/A")*$D31:$D36,IF($E31:$E36="N/A",0,$F31:$F36))/$D30,0)</f>
        <v>0.25</v>
      </c>
      <c r="G30" s="32">
        <v>46208</v>
      </c>
      <c r="H30" s="32">
        <v>46212</v>
      </c>
      <c r="I30" s="28"/>
      <c r="J30" s="28"/>
      <c r="K30" s="2"/>
      <c r="L30" s="28"/>
    </row>
    <row r="31" spans="2:12">
      <c r="B31" s="33" t="s">
        <v>141</v>
      </c>
      <c r="C31" s="34" t="s">
        <v>142</v>
      </c>
      <c r="D31" s="7">
        <v>1</v>
      </c>
      <c r="E31" s="7" t="s">
        <v>129</v>
      </c>
      <c r="F31" s="35">
        <f t="shared" ref="F31:F36" si="2">IF($E31="N/A","",VLOOKUP($E31,AvanceTbl,2,FALSE()))</f>
        <v>0.5</v>
      </c>
      <c r="G31" s="8"/>
      <c r="H31" s="8"/>
      <c r="I31" s="8"/>
      <c r="J31" s="8"/>
      <c r="K31" s="7" t="s">
        <v>104</v>
      </c>
      <c r="L31" s="34"/>
    </row>
    <row r="32" spans="2:12">
      <c r="B32" s="33" t="s">
        <v>143</v>
      </c>
      <c r="C32" s="34" t="s">
        <v>144</v>
      </c>
      <c r="D32" s="7">
        <v>1</v>
      </c>
      <c r="E32" s="7" t="s">
        <v>107</v>
      </c>
      <c r="F32" s="35">
        <f t="shared" si="2"/>
        <v>0</v>
      </c>
      <c r="G32" s="8"/>
      <c r="H32" s="8"/>
      <c r="I32" s="8"/>
      <c r="J32" s="8"/>
      <c r="K32" s="7" t="s">
        <v>104</v>
      </c>
      <c r="L32" s="34"/>
    </row>
    <row r="33" spans="2:12">
      <c r="B33" s="33" t="s">
        <v>145</v>
      </c>
      <c r="C33" s="34" t="s">
        <v>146</v>
      </c>
      <c r="D33" s="7">
        <v>1</v>
      </c>
      <c r="E33" s="7" t="s">
        <v>107</v>
      </c>
      <c r="F33" s="35">
        <f t="shared" si="2"/>
        <v>0</v>
      </c>
      <c r="G33" s="8"/>
      <c r="H33" s="8"/>
      <c r="I33" s="8"/>
      <c r="J33" s="8"/>
      <c r="K33" s="7" t="s">
        <v>104</v>
      </c>
      <c r="L33" s="34"/>
    </row>
    <row r="34" spans="2:12">
      <c r="B34" s="33" t="s">
        <v>147</v>
      </c>
      <c r="C34" s="34" t="s">
        <v>148</v>
      </c>
      <c r="D34" s="7">
        <v>1</v>
      </c>
      <c r="E34" s="7" t="s">
        <v>129</v>
      </c>
      <c r="F34" s="35">
        <f t="shared" si="2"/>
        <v>0.5</v>
      </c>
      <c r="G34" s="8"/>
      <c r="H34" s="8"/>
      <c r="I34" s="8"/>
      <c r="J34" s="8"/>
      <c r="K34" s="7" t="s">
        <v>104</v>
      </c>
      <c r="L34" s="34"/>
    </row>
    <row r="35" spans="2:12">
      <c r="B35" s="33" t="s">
        <v>149</v>
      </c>
      <c r="C35" s="34" t="s">
        <v>150</v>
      </c>
      <c r="D35" s="7">
        <v>1</v>
      </c>
      <c r="E35" s="7" t="s">
        <v>129</v>
      </c>
      <c r="F35" s="35">
        <f t="shared" si="2"/>
        <v>0.5</v>
      </c>
      <c r="G35" s="8"/>
      <c r="H35" s="8"/>
      <c r="I35" s="8"/>
      <c r="J35" s="8"/>
      <c r="K35" s="7" t="s">
        <v>104</v>
      </c>
      <c r="L35" s="34"/>
    </row>
    <row r="36" spans="2:12">
      <c r="B36" s="33" t="s">
        <v>151</v>
      </c>
      <c r="C36" s="34" t="s">
        <v>152</v>
      </c>
      <c r="D36" s="7">
        <v>1</v>
      </c>
      <c r="E36" s="7" t="s">
        <v>107</v>
      </c>
      <c r="F36" s="35">
        <f t="shared" si="2"/>
        <v>0</v>
      </c>
      <c r="G36" s="8"/>
      <c r="H36" s="8"/>
      <c r="I36" s="8"/>
      <c r="J36" s="8"/>
      <c r="K36" s="7" t="s">
        <v>104</v>
      </c>
      <c r="L36" s="34"/>
    </row>
    <row r="37" spans="2:12">
      <c r="B37" s="28"/>
      <c r="C37" s="29" t="s">
        <v>153</v>
      </c>
      <c r="D37" s="30">
        <f>SUMIF($E38:$E42,"&lt;&gt;N/A",$D38:$D42)</f>
        <v>5</v>
      </c>
      <c r="E37" s="28"/>
      <c r="F37" s="31" cm="1">
        <f t="array" ref="F37">IFERROR(SUMPRODUCT(($E38:$E42&lt;&gt;"N/A")*$D38:$D42,IF($E38:$E42="N/A",0,$F38:$F42))/$D37,0)</f>
        <v>0.1</v>
      </c>
      <c r="G37" s="32">
        <v>46213</v>
      </c>
      <c r="H37" s="32">
        <v>46213</v>
      </c>
      <c r="I37" s="28"/>
      <c r="J37" s="28"/>
      <c r="K37" s="2"/>
      <c r="L37" s="28"/>
    </row>
    <row r="38" spans="2:12">
      <c r="B38" s="33" t="s">
        <v>154</v>
      </c>
      <c r="C38" s="34" t="s">
        <v>155</v>
      </c>
      <c r="D38" s="7">
        <v>1</v>
      </c>
      <c r="E38" s="7" t="s">
        <v>129</v>
      </c>
      <c r="F38" s="35">
        <f>IF($E38="N/A","",VLOOKUP($E38,AvanceTbl,2,FALSE()))</f>
        <v>0.5</v>
      </c>
      <c r="G38" s="8"/>
      <c r="H38" s="8"/>
      <c r="I38" s="8"/>
      <c r="J38" s="8"/>
      <c r="K38" s="7" t="s">
        <v>104</v>
      </c>
      <c r="L38" s="34"/>
    </row>
    <row r="39" spans="2:12">
      <c r="B39" s="33" t="s">
        <v>156</v>
      </c>
      <c r="C39" s="34" t="s">
        <v>157</v>
      </c>
      <c r="D39" s="7">
        <v>1</v>
      </c>
      <c r="E39" s="7" t="s">
        <v>107</v>
      </c>
      <c r="F39" s="35">
        <f>IF($E39="N/A","",VLOOKUP($E39,AvanceTbl,2,FALSE()))</f>
        <v>0</v>
      </c>
      <c r="G39" s="8"/>
      <c r="H39" s="8"/>
      <c r="I39" s="8"/>
      <c r="J39" s="8"/>
      <c r="K39" s="7" t="s">
        <v>104</v>
      </c>
      <c r="L39" s="34"/>
    </row>
    <row r="40" spans="2:12">
      <c r="B40" s="33" t="s">
        <v>158</v>
      </c>
      <c r="C40" s="34" t="s">
        <v>159</v>
      </c>
      <c r="D40" s="7">
        <v>1</v>
      </c>
      <c r="E40" s="7" t="s">
        <v>107</v>
      </c>
      <c r="F40" s="35">
        <f>IF($E40="N/A","",VLOOKUP($E40,AvanceTbl,2,FALSE()))</f>
        <v>0</v>
      </c>
      <c r="G40" s="8"/>
      <c r="H40" s="8"/>
      <c r="I40" s="8"/>
      <c r="J40" s="8"/>
      <c r="K40" s="7" t="s">
        <v>104</v>
      </c>
      <c r="L40" s="34"/>
    </row>
    <row r="41" spans="2:12">
      <c r="B41" s="33" t="s">
        <v>160</v>
      </c>
      <c r="C41" s="34" t="s">
        <v>161</v>
      </c>
      <c r="D41" s="7">
        <v>1</v>
      </c>
      <c r="E41" s="7" t="s">
        <v>107</v>
      </c>
      <c r="F41" s="35">
        <f>IF($E41="N/A","",VLOOKUP($E41,AvanceTbl,2,FALSE()))</f>
        <v>0</v>
      </c>
      <c r="G41" s="8"/>
      <c r="H41" s="8"/>
      <c r="I41" s="8"/>
      <c r="J41" s="8"/>
      <c r="K41" s="7" t="s">
        <v>104</v>
      </c>
      <c r="L41" s="34"/>
    </row>
    <row r="42" spans="2:12">
      <c r="B42" s="33" t="s">
        <v>162</v>
      </c>
      <c r="C42" s="34" t="s">
        <v>163</v>
      </c>
      <c r="D42" s="7">
        <v>1</v>
      </c>
      <c r="E42" s="7" t="s">
        <v>107</v>
      </c>
      <c r="F42" s="35">
        <f>IF($E42="N/A","",VLOOKUP($E42,AvanceTbl,2,FALSE()))</f>
        <v>0</v>
      </c>
      <c r="G42" s="8"/>
      <c r="H42" s="8"/>
      <c r="I42" s="8"/>
      <c r="J42" s="8"/>
      <c r="K42" s="7" t="s">
        <v>101</v>
      </c>
      <c r="L42" s="34"/>
    </row>
    <row r="43" spans="2:12">
      <c r="B43" s="28"/>
      <c r="C43" s="29" t="s">
        <v>164</v>
      </c>
      <c r="D43" s="30">
        <f>SUMIF($E44:$E46,"&lt;&gt;N/A",$D44:$D46)</f>
        <v>3</v>
      </c>
      <c r="E43" s="28"/>
      <c r="F43" s="31" cm="1">
        <f t="array" ref="F43">IFERROR(SUMPRODUCT(($E44:$E46&lt;&gt;"N/A")*$D44:$D46,IF($E44:$E46="N/A",0,$F44:$F46))/$D43,0)</f>
        <v>0</v>
      </c>
      <c r="G43" s="32">
        <v>46213</v>
      </c>
      <c r="H43" s="32">
        <v>46213</v>
      </c>
      <c r="I43" s="28"/>
      <c r="J43" s="28"/>
      <c r="K43" s="2"/>
      <c r="L43" s="28"/>
    </row>
    <row r="44" spans="2:12">
      <c r="B44" s="33" t="s">
        <v>165</v>
      </c>
      <c r="C44" s="34" t="s">
        <v>166</v>
      </c>
      <c r="D44" s="7">
        <v>1</v>
      </c>
      <c r="E44" s="7" t="s">
        <v>107</v>
      </c>
      <c r="F44" s="35">
        <f>IF($E44="N/A","",VLOOKUP($E44,AvanceTbl,2,FALSE()))</f>
        <v>0</v>
      </c>
      <c r="G44" s="8"/>
      <c r="H44" s="8"/>
      <c r="I44" s="8"/>
      <c r="J44" s="8"/>
      <c r="K44" s="7" t="s">
        <v>104</v>
      </c>
      <c r="L44" s="34"/>
    </row>
    <row r="45" spans="2:12">
      <c r="B45" s="33" t="s">
        <v>167</v>
      </c>
      <c r="C45" s="34" t="s">
        <v>168</v>
      </c>
      <c r="D45" s="7">
        <v>1</v>
      </c>
      <c r="E45" s="7" t="s">
        <v>107</v>
      </c>
      <c r="F45" s="35">
        <f>IF($E45="N/A","",VLOOKUP($E45,AvanceTbl,2,FALSE()))</f>
        <v>0</v>
      </c>
      <c r="G45" s="8"/>
      <c r="H45" s="8"/>
      <c r="I45" s="8"/>
      <c r="J45" s="8"/>
      <c r="K45" s="7" t="s">
        <v>101</v>
      </c>
      <c r="L45" s="34"/>
    </row>
    <row r="46" spans="2:12">
      <c r="B46" s="33" t="s">
        <v>169</v>
      </c>
      <c r="C46" s="34" t="s">
        <v>170</v>
      </c>
      <c r="D46" s="7">
        <v>1</v>
      </c>
      <c r="E46" s="7" t="s">
        <v>107</v>
      </c>
      <c r="F46" s="35">
        <f>IF($E46="N/A","",VLOOKUP($E46,AvanceTbl,2,FALSE()))</f>
        <v>0</v>
      </c>
      <c r="G46" s="8"/>
      <c r="H46" s="8"/>
      <c r="I46" s="8"/>
      <c r="J46" s="8"/>
      <c r="K46" s="7" t="s">
        <v>101</v>
      </c>
      <c r="L46" s="34"/>
    </row>
    <row r="47" spans="2:12">
      <c r="B47" s="28"/>
      <c r="C47" s="29" t="s">
        <v>171</v>
      </c>
      <c r="D47" s="30">
        <f>SUMIF($E48:$E51,"&lt;&gt;N/A",$D48:$D51)</f>
        <v>4</v>
      </c>
      <c r="E47" s="28"/>
      <c r="F47" s="31" cm="1">
        <f t="array" ref="F47">IFERROR(SUMPRODUCT(($E48:$E51&lt;&gt;"N/A")*$D48:$D51,IF($E48:$E51="N/A",0,$F48:$F51))/$D47,0)</f>
        <v>0</v>
      </c>
      <c r="G47" s="32">
        <v>46216</v>
      </c>
      <c r="H47" s="32">
        <v>46217</v>
      </c>
      <c r="I47" s="28"/>
      <c r="J47" s="28"/>
      <c r="K47" s="2"/>
      <c r="L47" s="28"/>
    </row>
    <row r="48" spans="2:12">
      <c r="B48" s="33" t="s">
        <v>172</v>
      </c>
      <c r="C48" s="34" t="s">
        <v>173</v>
      </c>
      <c r="D48" s="7">
        <v>1</v>
      </c>
      <c r="E48" s="7" t="s">
        <v>107</v>
      </c>
      <c r="F48" s="35">
        <f>IF($E48="N/A","",VLOOKUP($E48,AvanceTbl,2,FALSE()))</f>
        <v>0</v>
      </c>
      <c r="G48" s="8"/>
      <c r="H48" s="8"/>
      <c r="I48" s="8"/>
      <c r="J48" s="8"/>
      <c r="K48" s="7" t="s">
        <v>104</v>
      </c>
      <c r="L48" s="34"/>
    </row>
    <row r="49" spans="2:12" ht="26.45">
      <c r="B49" s="33" t="s">
        <v>174</v>
      </c>
      <c r="C49" s="34" t="s">
        <v>175</v>
      </c>
      <c r="D49" s="7">
        <v>1</v>
      </c>
      <c r="E49" s="7" t="s">
        <v>107</v>
      </c>
      <c r="F49" s="35">
        <f>IF($E49="N/A","",VLOOKUP($E49,AvanceTbl,2,FALSE()))</f>
        <v>0</v>
      </c>
      <c r="G49" s="8"/>
      <c r="H49" s="8"/>
      <c r="I49" s="8"/>
      <c r="J49" s="8"/>
      <c r="K49" s="7" t="s">
        <v>104</v>
      </c>
      <c r="L49" s="34"/>
    </row>
    <row r="50" spans="2:12">
      <c r="B50" s="33" t="s">
        <v>176</v>
      </c>
      <c r="C50" s="34" t="s">
        <v>177</v>
      </c>
      <c r="D50" s="7">
        <v>1</v>
      </c>
      <c r="E50" s="7" t="s">
        <v>107</v>
      </c>
      <c r="F50" s="35">
        <f>IF($E50="N/A","",VLOOKUP($E50,AvanceTbl,2,FALSE()))</f>
        <v>0</v>
      </c>
      <c r="G50" s="8"/>
      <c r="H50" s="8"/>
      <c r="I50" s="8"/>
      <c r="J50" s="8"/>
      <c r="K50" s="7" t="s">
        <v>104</v>
      </c>
      <c r="L50" s="34"/>
    </row>
    <row r="51" spans="2:12">
      <c r="B51" s="33" t="s">
        <v>178</v>
      </c>
      <c r="C51" s="34" t="s">
        <v>179</v>
      </c>
      <c r="D51" s="7">
        <v>1</v>
      </c>
      <c r="E51" s="7" t="s">
        <v>107</v>
      </c>
      <c r="F51" s="35">
        <f>IF($E51="N/A","",VLOOKUP($E51,AvanceTbl,2,FALSE()))</f>
        <v>0</v>
      </c>
      <c r="G51" s="8"/>
      <c r="H51" s="8"/>
      <c r="I51" s="8"/>
      <c r="J51" s="8"/>
      <c r="K51" s="7" t="s">
        <v>101</v>
      </c>
      <c r="L51" s="34"/>
    </row>
    <row r="52" spans="2:12">
      <c r="B52" s="28"/>
      <c r="C52" s="29" t="s">
        <v>180</v>
      </c>
      <c r="D52" s="30">
        <f>SUMIF($E53:$E56,"&lt;&gt;N/A",$D53:$D56)</f>
        <v>4</v>
      </c>
      <c r="E52" s="28"/>
      <c r="F52" s="31" cm="1">
        <f t="array" ref="F52">IFERROR(SUMPRODUCT(($E53:$E56&lt;&gt;"N/A")*$D53:$D56,IF($E53:$E56="N/A",0,$F53:$F56))/$D52,0)</f>
        <v>0</v>
      </c>
      <c r="G52" s="32">
        <v>46217</v>
      </c>
      <c r="H52" s="32">
        <v>46217</v>
      </c>
      <c r="I52" s="28"/>
      <c r="J52" s="28"/>
      <c r="K52" s="2"/>
      <c r="L52" s="28"/>
    </row>
    <row r="53" spans="2:12">
      <c r="B53" s="33" t="s">
        <v>181</v>
      </c>
      <c r="C53" s="34" t="s">
        <v>182</v>
      </c>
      <c r="D53" s="7">
        <v>1</v>
      </c>
      <c r="E53" s="7" t="s">
        <v>107</v>
      </c>
      <c r="F53" s="35">
        <f>IF($E53="N/A","",VLOOKUP($E53,AvanceTbl,2,FALSE()))</f>
        <v>0</v>
      </c>
      <c r="G53" s="8"/>
      <c r="H53" s="8"/>
      <c r="I53" s="8"/>
      <c r="J53" s="8"/>
      <c r="K53" s="7" t="s">
        <v>101</v>
      </c>
      <c r="L53" s="34"/>
    </row>
    <row r="54" spans="2:12">
      <c r="B54" s="33" t="s">
        <v>183</v>
      </c>
      <c r="C54" s="34" t="s">
        <v>184</v>
      </c>
      <c r="D54" s="7">
        <v>1</v>
      </c>
      <c r="E54" s="7" t="s">
        <v>107</v>
      </c>
      <c r="F54" s="35">
        <f>IF($E54="N/A","",VLOOKUP($E54,AvanceTbl,2,FALSE()))</f>
        <v>0</v>
      </c>
      <c r="G54" s="8"/>
      <c r="H54" s="8"/>
      <c r="I54" s="8"/>
      <c r="J54" s="8"/>
      <c r="K54" s="7" t="s">
        <v>101</v>
      </c>
      <c r="L54" s="34"/>
    </row>
    <row r="55" spans="2:12">
      <c r="B55" s="33" t="s">
        <v>185</v>
      </c>
      <c r="C55" s="34" t="s">
        <v>186</v>
      </c>
      <c r="D55" s="7">
        <v>1</v>
      </c>
      <c r="E55" s="7" t="s">
        <v>107</v>
      </c>
      <c r="F55" s="35">
        <f>IF($E55="N/A","",VLOOKUP($E55,AvanceTbl,2,FALSE()))</f>
        <v>0</v>
      </c>
      <c r="G55" s="8"/>
      <c r="H55" s="8"/>
      <c r="I55" s="8"/>
      <c r="J55" s="8"/>
      <c r="K55" s="7" t="s">
        <v>101</v>
      </c>
      <c r="L55" s="34"/>
    </row>
    <row r="56" spans="2:12">
      <c r="B56" s="33" t="s">
        <v>187</v>
      </c>
      <c r="C56" s="34" t="s">
        <v>188</v>
      </c>
      <c r="D56" s="7">
        <v>1</v>
      </c>
      <c r="E56" s="7" t="s">
        <v>107</v>
      </c>
      <c r="F56" s="35">
        <f>IF($E56="N/A","",VLOOKUP($E56,AvanceTbl,2,FALSE()))</f>
        <v>0</v>
      </c>
      <c r="G56" s="8"/>
      <c r="H56" s="8"/>
      <c r="I56" s="8"/>
      <c r="J56" s="8"/>
      <c r="K56" s="7" t="s">
        <v>189</v>
      </c>
      <c r="L56" s="34"/>
    </row>
  </sheetData>
  <mergeCells count="9">
    <mergeCell ref="B7:F7"/>
    <mergeCell ref="G7:L7"/>
    <mergeCell ref="B2:L2"/>
    <mergeCell ref="C4:E4"/>
    <mergeCell ref="G4:H4"/>
    <mergeCell ref="J4:L4"/>
    <mergeCell ref="C5:E5"/>
    <mergeCell ref="G5:H5"/>
    <mergeCell ref="J5:L5"/>
  </mergeCells>
  <conditionalFormatting sqref="E10:E56">
    <cfRule type="cellIs" dxfId="30" priority="2" operator="equal">
      <formula>"Completado"</formula>
    </cfRule>
    <cfRule type="cellIs" dxfId="29" priority="3" operator="equal">
      <formula>"En proceso"</formula>
    </cfRule>
    <cfRule type="cellIs" dxfId="28" priority="4" operator="equal">
      <formula>"Pendiente"</formula>
    </cfRule>
  </conditionalFormatting>
  <conditionalFormatting sqref="F10:F56">
    <cfRule type="dataBar" priority="5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{FF564BDD-1649-4C5C-BFC1-9E44AC70E84F}</x14:id>
        </ext>
      </extLst>
    </cfRule>
  </conditionalFormatting>
  <conditionalFormatting sqref="G11:G15">
    <cfRule type="expression" dxfId="27" priority="6">
      <formula>AND($G11&lt;&gt;"",$G11&lt;TODAY(),$E11&lt;&gt;"Completado",$E11&lt;&gt;"N/A")</formula>
    </cfRule>
  </conditionalFormatting>
  <conditionalFormatting sqref="G17:G22">
    <cfRule type="expression" dxfId="26" priority="11">
      <formula>AND($G17&lt;&gt;"",$G17&lt;TODAY(),$E17&lt;&gt;"Completado",$E17&lt;&gt;"N/A")</formula>
    </cfRule>
  </conditionalFormatting>
  <conditionalFormatting sqref="G24:G29">
    <cfRule type="expression" dxfId="25" priority="17">
      <formula>AND($G24&lt;&gt;"",$G24&lt;TODAY(),$E24&lt;&gt;"Completado",$E24&lt;&gt;"N/A")</formula>
    </cfRule>
  </conditionalFormatting>
  <conditionalFormatting sqref="G31:G36">
    <cfRule type="expression" dxfId="24" priority="23">
      <formula>AND($G31&lt;&gt;"",$G31&lt;TODAY(),$E31&lt;&gt;"Completado",$E31&lt;&gt;"N/A")</formula>
    </cfRule>
  </conditionalFormatting>
  <conditionalFormatting sqref="G38:G42">
    <cfRule type="expression" dxfId="23" priority="29">
      <formula>AND($G38&lt;&gt;"",$G38&lt;TODAY(),$E38&lt;&gt;"Completado",$E38&lt;&gt;"N/A")</formula>
    </cfRule>
  </conditionalFormatting>
  <conditionalFormatting sqref="G44:G46">
    <cfRule type="expression" dxfId="22" priority="34">
      <formula>AND($G44&lt;&gt;"",$G44&lt;TODAY(),$E44&lt;&gt;"Completado",$E44&lt;&gt;"N/A")</formula>
    </cfRule>
  </conditionalFormatting>
  <conditionalFormatting sqref="G48:G51">
    <cfRule type="expression" dxfId="21" priority="37">
      <formula>AND($G48&lt;&gt;"",$G48&lt;TODAY(),$E48&lt;&gt;"Completado",$E48&lt;&gt;"N/A")</formula>
    </cfRule>
  </conditionalFormatting>
  <conditionalFormatting sqref="G53:G56">
    <cfRule type="expression" dxfId="20" priority="41">
      <formula>AND($G53&lt;&gt;"",$G53&lt;TODAY(),$E53&lt;&gt;"Completado",$E53&lt;&gt;"N/A")</formula>
    </cfRule>
  </conditionalFormatting>
  <dataValidations count="1">
    <dataValidation type="list" allowBlank="1" sqref="E11:E15 E17:E22 E24:E29 E31:E36 E38:E42 E44:E46 E48:E51 E53:E56" xr:uid="{00000000-0002-0000-0500-000000000000}">
      <formula1>EstadoList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F564BDD-1649-4C5C-BFC1-9E44AC70E84F}">
            <x14:dataBar axisPosition="none">
              <x14:cfvo type="num">
                <xm:f>0</xm:f>
              </x14:cfvo>
              <x14:cfvo type="num">
                <xm:f>1</xm:f>
              </x14:cfvo>
              <x14:negativeFillColor rgb="FF63C384"/>
            </x14:dataBar>
          </x14:cfRule>
          <xm:sqref>F10:F56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2E5496"/>
  </sheetPr>
  <dimension ref="B2:L56"/>
  <sheetViews>
    <sheetView showGridLines="0" zoomScaleNormal="100" workbookViewId="0">
      <pane xSplit="6" ySplit="9" topLeftCell="G49" activePane="bottomRight" state="frozen"/>
      <selection pane="bottomRight" activeCell="G15" sqref="G15"/>
      <selection pane="bottomLeft" activeCell="A10" sqref="A10"/>
      <selection pane="topRight" activeCell="G1" sqref="G1"/>
    </sheetView>
  </sheetViews>
  <sheetFormatPr defaultColWidth="8.7109375" defaultRowHeight="14.45"/>
  <cols>
    <col min="1" max="1" width="2" customWidth="1"/>
    <col min="2" max="2" width="6" customWidth="1"/>
    <col min="3" max="3" width="50" customWidth="1"/>
    <col min="4" max="4" width="7" customWidth="1"/>
    <col min="5" max="5" width="13" customWidth="1"/>
    <col min="6" max="6" width="9" customWidth="1"/>
    <col min="7" max="10" width="12" customWidth="1"/>
    <col min="11" max="11" width="15" customWidth="1"/>
    <col min="12" max="12" width="30" customWidth="1"/>
  </cols>
  <sheetData>
    <row r="2" spans="2:12" ht="17.45">
      <c r="B2" s="47" t="s">
        <v>196</v>
      </c>
      <c r="C2" s="47"/>
      <c r="D2" s="47"/>
      <c r="E2" s="47"/>
      <c r="F2" s="47"/>
      <c r="G2" s="47"/>
      <c r="H2" s="47"/>
      <c r="I2" s="47"/>
      <c r="J2" s="47"/>
      <c r="K2" s="47"/>
      <c r="L2" s="47"/>
    </row>
    <row r="4" spans="2:12">
      <c r="B4" s="27" t="s">
        <v>80</v>
      </c>
      <c r="C4" s="48"/>
      <c r="D4" s="48"/>
      <c r="E4" s="48"/>
      <c r="F4" s="27" t="s">
        <v>81</v>
      </c>
      <c r="G4" s="48" t="s">
        <v>15</v>
      </c>
      <c r="H4" s="48"/>
      <c r="I4" s="27" t="s">
        <v>82</v>
      </c>
      <c r="J4" s="48"/>
      <c r="K4" s="48"/>
      <c r="L4" s="48"/>
    </row>
    <row r="5" spans="2:12">
      <c r="B5" s="27" t="s">
        <v>83</v>
      </c>
      <c r="C5" s="48"/>
      <c r="D5" s="48"/>
      <c r="E5" s="48"/>
      <c r="F5" s="27" t="s">
        <v>84</v>
      </c>
      <c r="G5" s="48"/>
      <c r="H5" s="48"/>
      <c r="I5" s="27" t="s">
        <v>85</v>
      </c>
      <c r="J5" s="48"/>
      <c r="K5" s="48"/>
      <c r="L5" s="48"/>
    </row>
    <row r="7" spans="2:12" ht="21">
      <c r="B7" s="45" t="s">
        <v>86</v>
      </c>
      <c r="C7" s="45"/>
      <c r="D7" s="45"/>
      <c r="E7" s="45"/>
      <c r="F7" s="45"/>
      <c r="G7" s="46">
        <f>IFERROR(($D10*$F10+$D16*$F16+$D23*$F23+$D30*$F30+$D37*$F37+$D43*$F43+$D47*$F47+$D52*$F52)/($D10+$D16+$D23+$D30+$D37+$D43+$D47+$D52),0)</f>
        <v>0.20512820512820512</v>
      </c>
      <c r="H7" s="46"/>
      <c r="I7" s="46"/>
      <c r="J7" s="46"/>
      <c r="K7" s="46"/>
      <c r="L7" s="46"/>
    </row>
    <row r="9" spans="2:12">
      <c r="B9" s="4" t="s">
        <v>87</v>
      </c>
      <c r="C9" s="4" t="s">
        <v>88</v>
      </c>
      <c r="D9" s="4" t="s">
        <v>89</v>
      </c>
      <c r="E9" s="4" t="s">
        <v>90</v>
      </c>
      <c r="F9" s="4" t="s">
        <v>91</v>
      </c>
      <c r="G9" s="4" t="s">
        <v>5</v>
      </c>
      <c r="H9" s="4" t="s">
        <v>92</v>
      </c>
      <c r="I9" s="4" t="s">
        <v>93</v>
      </c>
      <c r="J9" s="4" t="s">
        <v>94</v>
      </c>
      <c r="K9" s="4" t="s">
        <v>95</v>
      </c>
      <c r="L9" s="4" t="s">
        <v>96</v>
      </c>
    </row>
    <row r="10" spans="2:12">
      <c r="B10" s="28"/>
      <c r="C10" s="29" t="s">
        <v>97</v>
      </c>
      <c r="D10" s="30">
        <f>SUMIF($E11:$E15,"&lt;&gt;N/A",$D11:$D15)</f>
        <v>5</v>
      </c>
      <c r="E10" s="28"/>
      <c r="F10" s="31" cm="1">
        <f t="array" ref="F10">IFERROR(SUMPRODUCT(($E11:$E15&lt;&gt;"N/A")*$D11:$D15,IF($E11:$E15="N/A",0,$F11:$F15))/$D10,0)</f>
        <v>0.5</v>
      </c>
      <c r="G10" s="32">
        <v>46202</v>
      </c>
      <c r="H10" s="32">
        <v>46205</v>
      </c>
      <c r="I10" s="28"/>
      <c r="J10" s="28"/>
      <c r="K10" s="28"/>
      <c r="L10" s="28"/>
    </row>
    <row r="11" spans="2:12" ht="26.45">
      <c r="B11" s="33" t="s">
        <v>98</v>
      </c>
      <c r="C11" s="34" t="s">
        <v>99</v>
      </c>
      <c r="D11" s="7">
        <v>1</v>
      </c>
      <c r="E11" s="7" t="s">
        <v>100</v>
      </c>
      <c r="F11" s="35">
        <f>IF($E11="N/A","",VLOOKUP($E11,AvanceTbl,2,FALSE()))</f>
        <v>1</v>
      </c>
      <c r="G11" s="8"/>
      <c r="H11" s="8"/>
      <c r="I11" s="8"/>
      <c r="J11" s="8"/>
      <c r="K11" s="7" t="s">
        <v>101</v>
      </c>
      <c r="L11" s="34"/>
    </row>
    <row r="12" spans="2:12">
      <c r="B12" s="33" t="s">
        <v>102</v>
      </c>
      <c r="C12" s="34" t="s">
        <v>103</v>
      </c>
      <c r="D12" s="7">
        <v>1</v>
      </c>
      <c r="E12" s="7" t="s">
        <v>100</v>
      </c>
      <c r="F12" s="35">
        <f>IF($E12="N/A","",VLOOKUP($E12,AvanceTbl,2,FALSE()))</f>
        <v>1</v>
      </c>
      <c r="G12" s="8"/>
      <c r="H12" s="8"/>
      <c r="I12" s="8"/>
      <c r="J12" s="8"/>
      <c r="K12" s="7" t="s">
        <v>104</v>
      </c>
      <c r="L12" s="34"/>
    </row>
    <row r="13" spans="2:12">
      <c r="B13" s="33" t="s">
        <v>105</v>
      </c>
      <c r="C13" s="34" t="s">
        <v>106</v>
      </c>
      <c r="D13" s="7">
        <v>1</v>
      </c>
      <c r="E13" s="7" t="s">
        <v>129</v>
      </c>
      <c r="F13" s="35">
        <f>IF($E13="N/A","",VLOOKUP($E13,AvanceTbl,2,FALSE()))</f>
        <v>0.5</v>
      </c>
      <c r="G13" s="8"/>
      <c r="H13" s="8"/>
      <c r="I13" s="8"/>
      <c r="J13" s="8"/>
      <c r="K13" s="7" t="s">
        <v>104</v>
      </c>
      <c r="L13" s="34"/>
    </row>
    <row r="14" spans="2:12">
      <c r="B14" s="33" t="s">
        <v>108</v>
      </c>
      <c r="C14" s="34" t="s">
        <v>109</v>
      </c>
      <c r="D14" s="7">
        <v>1</v>
      </c>
      <c r="E14" s="7" t="s">
        <v>107</v>
      </c>
      <c r="F14" s="35">
        <f>IF($E14="N/A","",VLOOKUP($E14,AvanceTbl,2,FALSE()))</f>
        <v>0</v>
      </c>
      <c r="G14" s="8"/>
      <c r="H14" s="8"/>
      <c r="I14" s="8"/>
      <c r="J14" s="8"/>
      <c r="K14" s="7" t="s">
        <v>104</v>
      </c>
      <c r="L14" s="34"/>
    </row>
    <row r="15" spans="2:12">
      <c r="B15" s="33" t="s">
        <v>110</v>
      </c>
      <c r="C15" s="34" t="s">
        <v>111</v>
      </c>
      <c r="D15" s="7">
        <v>1</v>
      </c>
      <c r="E15" s="7" t="s">
        <v>107</v>
      </c>
      <c r="F15" s="35">
        <f>IF($E15="N/A","",VLOOKUP($E15,AvanceTbl,2,FALSE()))</f>
        <v>0</v>
      </c>
      <c r="G15" s="8"/>
      <c r="H15" s="8"/>
      <c r="I15" s="8"/>
      <c r="J15" s="8"/>
      <c r="K15" s="7" t="s">
        <v>101</v>
      </c>
      <c r="L15" s="34"/>
    </row>
    <row r="16" spans="2:12">
      <c r="B16" s="28"/>
      <c r="C16" s="29" t="s">
        <v>112</v>
      </c>
      <c r="D16" s="30">
        <f>SUMIF($E17:$E22,"&lt;&gt;N/A",$D17:$D22)</f>
        <v>6</v>
      </c>
      <c r="E16" s="28"/>
      <c r="F16" s="31" cm="1">
        <f t="array" ref="F16">IFERROR(SUMPRODUCT(($E17:$E22&lt;&gt;"N/A")*$D17:$D22,IF($E17:$E22="N/A",0,$F17:$F22))/$D16,0)</f>
        <v>0.5</v>
      </c>
      <c r="G16" s="32">
        <v>46205</v>
      </c>
      <c r="H16" s="32">
        <v>46206</v>
      </c>
      <c r="I16" s="28"/>
      <c r="J16" s="28"/>
      <c r="K16" s="2"/>
      <c r="L16" s="28"/>
    </row>
    <row r="17" spans="2:12" ht="26.45">
      <c r="B17" s="33" t="s">
        <v>113</v>
      </c>
      <c r="C17" s="34" t="s">
        <v>114</v>
      </c>
      <c r="D17" s="7">
        <v>1</v>
      </c>
      <c r="E17" s="7" t="s">
        <v>100</v>
      </c>
      <c r="F17" s="35">
        <f t="shared" ref="F17:F22" si="0">IF($E17="N/A","",VLOOKUP($E17,AvanceTbl,2,FALSE()))</f>
        <v>1</v>
      </c>
      <c r="G17" s="8"/>
      <c r="H17" s="8"/>
      <c r="I17" s="8"/>
      <c r="J17" s="8"/>
      <c r="K17" s="7" t="s">
        <v>101</v>
      </c>
      <c r="L17" s="34"/>
    </row>
    <row r="18" spans="2:12">
      <c r="B18" s="33" t="s">
        <v>115</v>
      </c>
      <c r="C18" s="34" t="s">
        <v>116</v>
      </c>
      <c r="D18" s="7">
        <v>1</v>
      </c>
      <c r="E18" s="7" t="s">
        <v>100</v>
      </c>
      <c r="F18" s="35">
        <f t="shared" si="0"/>
        <v>1</v>
      </c>
      <c r="G18" s="8"/>
      <c r="H18" s="8"/>
      <c r="I18" s="8"/>
      <c r="J18" s="8"/>
      <c r="K18" s="7" t="s">
        <v>104</v>
      </c>
      <c r="L18" s="34"/>
    </row>
    <row r="19" spans="2:12">
      <c r="B19" s="33" t="s">
        <v>117</v>
      </c>
      <c r="C19" s="34" t="s">
        <v>118</v>
      </c>
      <c r="D19" s="7">
        <v>1</v>
      </c>
      <c r="E19" s="7" t="s">
        <v>129</v>
      </c>
      <c r="F19" s="35">
        <f t="shared" si="0"/>
        <v>0.5</v>
      </c>
      <c r="G19" s="8"/>
      <c r="H19" s="8"/>
      <c r="I19" s="8"/>
      <c r="J19" s="8"/>
      <c r="K19" s="7" t="s">
        <v>104</v>
      </c>
      <c r="L19" s="34"/>
    </row>
    <row r="20" spans="2:12">
      <c r="B20" s="33" t="s">
        <v>119</v>
      </c>
      <c r="C20" s="34" t="s">
        <v>120</v>
      </c>
      <c r="D20" s="7">
        <v>1</v>
      </c>
      <c r="E20" s="7" t="s">
        <v>129</v>
      </c>
      <c r="F20" s="35">
        <f t="shared" si="0"/>
        <v>0.5</v>
      </c>
      <c r="G20" s="8"/>
      <c r="H20" s="8"/>
      <c r="I20" s="8"/>
      <c r="J20" s="8"/>
      <c r="K20" s="7" t="s">
        <v>104</v>
      </c>
      <c r="L20" s="34"/>
    </row>
    <row r="21" spans="2:12">
      <c r="B21" s="33" t="s">
        <v>122</v>
      </c>
      <c r="C21" s="34" t="s">
        <v>123</v>
      </c>
      <c r="D21" s="7">
        <v>1</v>
      </c>
      <c r="E21" s="7" t="s">
        <v>107</v>
      </c>
      <c r="F21" s="35">
        <f t="shared" si="0"/>
        <v>0</v>
      </c>
      <c r="G21" s="8"/>
      <c r="H21" s="8"/>
      <c r="I21" s="8"/>
      <c r="J21" s="8"/>
      <c r="K21" s="7" t="s">
        <v>104</v>
      </c>
      <c r="L21" s="34"/>
    </row>
    <row r="22" spans="2:12">
      <c r="B22" s="33" t="s">
        <v>124</v>
      </c>
      <c r="C22" s="34" t="s">
        <v>125</v>
      </c>
      <c r="D22" s="7">
        <v>1</v>
      </c>
      <c r="E22" s="7" t="s">
        <v>107</v>
      </c>
      <c r="F22" s="35">
        <f t="shared" si="0"/>
        <v>0</v>
      </c>
      <c r="G22" s="8"/>
      <c r="H22" s="8"/>
      <c r="I22" s="8"/>
      <c r="J22" s="8"/>
      <c r="K22" s="7" t="s">
        <v>104</v>
      </c>
      <c r="L22" s="34"/>
    </row>
    <row r="23" spans="2:12">
      <c r="B23" s="28"/>
      <c r="C23" s="29" t="s">
        <v>126</v>
      </c>
      <c r="D23" s="30">
        <f>SUMIF($E24:$E29,"&lt;&gt;N/A",$D24:$D29)</f>
        <v>6</v>
      </c>
      <c r="E23" s="28"/>
      <c r="F23" s="31" cm="1">
        <f t="array" ref="F23">IFERROR(SUMPRODUCT(($E24:$E29&lt;&gt;"N/A")*$D24:$D29,IF($E24:$E29="N/A",0,$F24:$F29))/$D23,0)</f>
        <v>8.3333333333333329E-2</v>
      </c>
      <c r="G23" s="32">
        <v>46205</v>
      </c>
      <c r="H23" s="32">
        <v>46206</v>
      </c>
      <c r="I23" s="28"/>
      <c r="J23" s="28"/>
      <c r="K23" s="2"/>
      <c r="L23" s="28"/>
    </row>
    <row r="24" spans="2:12">
      <c r="B24" s="33" t="s">
        <v>127</v>
      </c>
      <c r="C24" s="34" t="s">
        <v>128</v>
      </c>
      <c r="D24" s="7">
        <v>1</v>
      </c>
      <c r="E24" s="7" t="s">
        <v>129</v>
      </c>
      <c r="F24" s="35">
        <f t="shared" ref="F24:F29" si="1">IF($E24="N/A","",VLOOKUP($E24,AvanceTbl,2,FALSE()))</f>
        <v>0.5</v>
      </c>
      <c r="G24" s="8"/>
      <c r="H24" s="8"/>
      <c r="I24" s="8"/>
      <c r="J24" s="8"/>
      <c r="K24" s="7" t="s">
        <v>104</v>
      </c>
      <c r="L24" s="34"/>
    </row>
    <row r="25" spans="2:12">
      <c r="B25" s="33" t="s">
        <v>130</v>
      </c>
      <c r="C25" s="34" t="s">
        <v>131</v>
      </c>
      <c r="D25" s="7">
        <v>1</v>
      </c>
      <c r="E25" s="7" t="s">
        <v>107</v>
      </c>
      <c r="F25" s="35">
        <f t="shared" si="1"/>
        <v>0</v>
      </c>
      <c r="G25" s="8"/>
      <c r="H25" s="8"/>
      <c r="I25" s="8"/>
      <c r="J25" s="8"/>
      <c r="K25" s="7" t="s">
        <v>104</v>
      </c>
      <c r="L25" s="34"/>
    </row>
    <row r="26" spans="2:12">
      <c r="B26" s="33" t="s">
        <v>132</v>
      </c>
      <c r="C26" s="34" t="s">
        <v>133</v>
      </c>
      <c r="D26" s="7">
        <v>1</v>
      </c>
      <c r="E26" s="7" t="s">
        <v>107</v>
      </c>
      <c r="F26" s="35">
        <f t="shared" si="1"/>
        <v>0</v>
      </c>
      <c r="G26" s="8"/>
      <c r="H26" s="8"/>
      <c r="I26" s="8"/>
      <c r="J26" s="8"/>
      <c r="K26" s="7" t="s">
        <v>104</v>
      </c>
      <c r="L26" s="34"/>
    </row>
    <row r="27" spans="2:12">
      <c r="B27" s="33" t="s">
        <v>134</v>
      </c>
      <c r="C27" s="34" t="s">
        <v>135</v>
      </c>
      <c r="D27" s="7">
        <v>1</v>
      </c>
      <c r="E27" s="7" t="s">
        <v>107</v>
      </c>
      <c r="F27" s="35">
        <f t="shared" si="1"/>
        <v>0</v>
      </c>
      <c r="G27" s="8"/>
      <c r="H27" s="8"/>
      <c r="I27" s="8"/>
      <c r="J27" s="8"/>
      <c r="K27" s="7" t="s">
        <v>104</v>
      </c>
      <c r="L27" s="34"/>
    </row>
    <row r="28" spans="2:12">
      <c r="B28" s="33" t="s">
        <v>136</v>
      </c>
      <c r="C28" s="34" t="s">
        <v>137</v>
      </c>
      <c r="D28" s="7">
        <v>1</v>
      </c>
      <c r="E28" s="7" t="s">
        <v>107</v>
      </c>
      <c r="F28" s="35">
        <f t="shared" si="1"/>
        <v>0</v>
      </c>
      <c r="G28" s="8"/>
      <c r="H28" s="8"/>
      <c r="I28" s="8"/>
      <c r="J28" s="8"/>
      <c r="K28" s="7" t="s">
        <v>104</v>
      </c>
      <c r="L28" s="34"/>
    </row>
    <row r="29" spans="2:12">
      <c r="B29" s="33" t="s">
        <v>138</v>
      </c>
      <c r="C29" s="34" t="s">
        <v>139</v>
      </c>
      <c r="D29" s="7">
        <v>1</v>
      </c>
      <c r="E29" s="7" t="s">
        <v>107</v>
      </c>
      <c r="F29" s="35">
        <f t="shared" si="1"/>
        <v>0</v>
      </c>
      <c r="G29" s="8"/>
      <c r="H29" s="8"/>
      <c r="I29" s="8"/>
      <c r="J29" s="8"/>
      <c r="K29" s="7" t="s">
        <v>104</v>
      </c>
      <c r="L29" s="34"/>
    </row>
    <row r="30" spans="2:12">
      <c r="B30" s="28"/>
      <c r="C30" s="29" t="s">
        <v>140</v>
      </c>
      <c r="D30" s="30">
        <f>SUMIF($E31:$E36,"&lt;&gt;N/A",$D31:$D36)</f>
        <v>6</v>
      </c>
      <c r="E30" s="28"/>
      <c r="F30" s="31" cm="1">
        <f t="array" ref="F30">IFERROR(SUMPRODUCT(($E31:$E36&lt;&gt;"N/A")*$D31:$D36,IF($E31:$E36="N/A",0,$F31:$F36))/$D30,0)</f>
        <v>0.25</v>
      </c>
      <c r="G30" s="32">
        <v>46208</v>
      </c>
      <c r="H30" s="32">
        <v>46212</v>
      </c>
      <c r="I30" s="28"/>
      <c r="J30" s="28"/>
      <c r="K30" s="2"/>
      <c r="L30" s="28"/>
    </row>
    <row r="31" spans="2:12">
      <c r="B31" s="33" t="s">
        <v>141</v>
      </c>
      <c r="C31" s="34" t="s">
        <v>142</v>
      </c>
      <c r="D31" s="7">
        <v>1</v>
      </c>
      <c r="E31" s="7" t="s">
        <v>129</v>
      </c>
      <c r="F31" s="35">
        <f t="shared" ref="F31:F36" si="2">IF($E31="N/A","",VLOOKUP($E31,AvanceTbl,2,FALSE()))</f>
        <v>0.5</v>
      </c>
      <c r="G31" s="8"/>
      <c r="H31" s="8"/>
      <c r="I31" s="8"/>
      <c r="J31" s="8"/>
      <c r="K31" s="7" t="s">
        <v>104</v>
      </c>
      <c r="L31" s="34"/>
    </row>
    <row r="32" spans="2:12">
      <c r="B32" s="33" t="s">
        <v>143</v>
      </c>
      <c r="C32" s="34" t="s">
        <v>144</v>
      </c>
      <c r="D32" s="7">
        <v>1</v>
      </c>
      <c r="E32" s="7" t="s">
        <v>107</v>
      </c>
      <c r="F32" s="35">
        <f t="shared" si="2"/>
        <v>0</v>
      </c>
      <c r="G32" s="8"/>
      <c r="H32" s="8"/>
      <c r="I32" s="8"/>
      <c r="J32" s="8"/>
      <c r="K32" s="7" t="s">
        <v>104</v>
      </c>
      <c r="L32" s="34"/>
    </row>
    <row r="33" spans="2:12">
      <c r="B33" s="33" t="s">
        <v>145</v>
      </c>
      <c r="C33" s="34" t="s">
        <v>146</v>
      </c>
      <c r="D33" s="7">
        <v>1</v>
      </c>
      <c r="E33" s="7" t="s">
        <v>107</v>
      </c>
      <c r="F33" s="35">
        <f t="shared" si="2"/>
        <v>0</v>
      </c>
      <c r="G33" s="8"/>
      <c r="H33" s="8"/>
      <c r="I33" s="8"/>
      <c r="J33" s="8"/>
      <c r="K33" s="7" t="s">
        <v>104</v>
      </c>
      <c r="L33" s="34"/>
    </row>
    <row r="34" spans="2:12">
      <c r="B34" s="33" t="s">
        <v>147</v>
      </c>
      <c r="C34" s="34" t="s">
        <v>148</v>
      </c>
      <c r="D34" s="7">
        <v>1</v>
      </c>
      <c r="E34" s="7" t="s">
        <v>129</v>
      </c>
      <c r="F34" s="35">
        <f t="shared" si="2"/>
        <v>0.5</v>
      </c>
      <c r="G34" s="8"/>
      <c r="H34" s="8"/>
      <c r="I34" s="8"/>
      <c r="J34" s="8"/>
      <c r="K34" s="7" t="s">
        <v>104</v>
      </c>
      <c r="L34" s="34"/>
    </row>
    <row r="35" spans="2:12">
      <c r="B35" s="33" t="s">
        <v>149</v>
      </c>
      <c r="C35" s="34" t="s">
        <v>150</v>
      </c>
      <c r="D35" s="7">
        <v>1</v>
      </c>
      <c r="E35" s="7" t="s">
        <v>129</v>
      </c>
      <c r="F35" s="35">
        <f t="shared" si="2"/>
        <v>0.5</v>
      </c>
      <c r="G35" s="8"/>
      <c r="H35" s="8"/>
      <c r="I35" s="8"/>
      <c r="J35" s="8"/>
      <c r="K35" s="7" t="s">
        <v>104</v>
      </c>
      <c r="L35" s="34"/>
    </row>
    <row r="36" spans="2:12">
      <c r="B36" s="33" t="s">
        <v>151</v>
      </c>
      <c r="C36" s="34" t="s">
        <v>152</v>
      </c>
      <c r="D36" s="7">
        <v>1</v>
      </c>
      <c r="E36" s="7" t="s">
        <v>107</v>
      </c>
      <c r="F36" s="35">
        <f t="shared" si="2"/>
        <v>0</v>
      </c>
      <c r="G36" s="8"/>
      <c r="H36" s="8"/>
      <c r="I36" s="8"/>
      <c r="J36" s="8"/>
      <c r="K36" s="7" t="s">
        <v>104</v>
      </c>
      <c r="L36" s="34"/>
    </row>
    <row r="37" spans="2:12">
      <c r="B37" s="28"/>
      <c r="C37" s="29" t="s">
        <v>153</v>
      </c>
      <c r="D37" s="30">
        <f>SUMIF($E38:$E42,"&lt;&gt;N/A",$D38:$D42)</f>
        <v>5</v>
      </c>
      <c r="E37" s="28"/>
      <c r="F37" s="31" cm="1">
        <f t="array" ref="F37">IFERROR(SUMPRODUCT(($E38:$E42&lt;&gt;"N/A")*$D38:$D42,IF($E38:$E42="N/A",0,$F38:$F42))/$D37,0)</f>
        <v>0.1</v>
      </c>
      <c r="G37" s="32">
        <v>46213</v>
      </c>
      <c r="H37" s="32">
        <v>46213</v>
      </c>
      <c r="I37" s="28"/>
      <c r="J37" s="28"/>
      <c r="K37" s="2"/>
      <c r="L37" s="28"/>
    </row>
    <row r="38" spans="2:12">
      <c r="B38" s="33" t="s">
        <v>154</v>
      </c>
      <c r="C38" s="34" t="s">
        <v>155</v>
      </c>
      <c r="D38" s="7">
        <v>1</v>
      </c>
      <c r="E38" s="7" t="s">
        <v>129</v>
      </c>
      <c r="F38" s="35">
        <f>IF($E38="N/A","",VLOOKUP($E38,AvanceTbl,2,FALSE()))</f>
        <v>0.5</v>
      </c>
      <c r="G38" s="8"/>
      <c r="H38" s="8"/>
      <c r="I38" s="8"/>
      <c r="J38" s="8"/>
      <c r="K38" s="7" t="s">
        <v>104</v>
      </c>
      <c r="L38" s="34"/>
    </row>
    <row r="39" spans="2:12">
      <c r="B39" s="33" t="s">
        <v>156</v>
      </c>
      <c r="C39" s="34" t="s">
        <v>157</v>
      </c>
      <c r="D39" s="7">
        <v>1</v>
      </c>
      <c r="E39" s="7" t="s">
        <v>107</v>
      </c>
      <c r="F39" s="35">
        <f>IF($E39="N/A","",VLOOKUP($E39,AvanceTbl,2,FALSE()))</f>
        <v>0</v>
      </c>
      <c r="G39" s="8"/>
      <c r="H39" s="8"/>
      <c r="I39" s="8"/>
      <c r="J39" s="8"/>
      <c r="K39" s="7" t="s">
        <v>104</v>
      </c>
      <c r="L39" s="34"/>
    </row>
    <row r="40" spans="2:12">
      <c r="B40" s="33" t="s">
        <v>158</v>
      </c>
      <c r="C40" s="34" t="s">
        <v>159</v>
      </c>
      <c r="D40" s="7">
        <v>1</v>
      </c>
      <c r="E40" s="7" t="s">
        <v>107</v>
      </c>
      <c r="F40" s="35">
        <f>IF($E40="N/A","",VLOOKUP($E40,AvanceTbl,2,FALSE()))</f>
        <v>0</v>
      </c>
      <c r="G40" s="8"/>
      <c r="H40" s="8"/>
      <c r="I40" s="8"/>
      <c r="J40" s="8"/>
      <c r="K40" s="7" t="s">
        <v>104</v>
      </c>
      <c r="L40" s="34"/>
    </row>
    <row r="41" spans="2:12">
      <c r="B41" s="33" t="s">
        <v>160</v>
      </c>
      <c r="C41" s="34" t="s">
        <v>161</v>
      </c>
      <c r="D41" s="7">
        <v>1</v>
      </c>
      <c r="E41" s="7" t="s">
        <v>107</v>
      </c>
      <c r="F41" s="35">
        <f>IF($E41="N/A","",VLOOKUP($E41,AvanceTbl,2,FALSE()))</f>
        <v>0</v>
      </c>
      <c r="G41" s="8"/>
      <c r="H41" s="8"/>
      <c r="I41" s="8"/>
      <c r="J41" s="8"/>
      <c r="K41" s="7" t="s">
        <v>104</v>
      </c>
      <c r="L41" s="34"/>
    </row>
    <row r="42" spans="2:12">
      <c r="B42" s="33" t="s">
        <v>162</v>
      </c>
      <c r="C42" s="34" t="s">
        <v>163</v>
      </c>
      <c r="D42" s="7">
        <v>1</v>
      </c>
      <c r="E42" s="7" t="s">
        <v>107</v>
      </c>
      <c r="F42" s="35">
        <f>IF($E42="N/A","",VLOOKUP($E42,AvanceTbl,2,FALSE()))</f>
        <v>0</v>
      </c>
      <c r="G42" s="8"/>
      <c r="H42" s="8"/>
      <c r="I42" s="8"/>
      <c r="J42" s="8"/>
      <c r="K42" s="7" t="s">
        <v>101</v>
      </c>
      <c r="L42" s="34"/>
    </row>
    <row r="43" spans="2:12">
      <c r="B43" s="28"/>
      <c r="C43" s="29" t="s">
        <v>164</v>
      </c>
      <c r="D43" s="30">
        <f>SUMIF($E44:$E46,"&lt;&gt;N/A",$D44:$D46)</f>
        <v>3</v>
      </c>
      <c r="E43" s="28"/>
      <c r="F43" s="31" cm="1">
        <f t="array" ref="F43">IFERROR(SUMPRODUCT(($E44:$E46&lt;&gt;"N/A")*$D44:$D46,IF($E44:$E46="N/A",0,$F44:$F46))/$D43,0)</f>
        <v>0</v>
      </c>
      <c r="G43" s="32">
        <v>46213</v>
      </c>
      <c r="H43" s="32">
        <v>46213</v>
      </c>
      <c r="I43" s="28"/>
      <c r="J43" s="28"/>
      <c r="K43" s="2"/>
      <c r="L43" s="28"/>
    </row>
    <row r="44" spans="2:12">
      <c r="B44" s="33" t="s">
        <v>165</v>
      </c>
      <c r="C44" s="34" t="s">
        <v>166</v>
      </c>
      <c r="D44" s="7">
        <v>1</v>
      </c>
      <c r="E44" s="7" t="s">
        <v>107</v>
      </c>
      <c r="F44" s="35">
        <f>IF($E44="N/A","",VLOOKUP($E44,AvanceTbl,2,FALSE()))</f>
        <v>0</v>
      </c>
      <c r="G44" s="8"/>
      <c r="H44" s="8"/>
      <c r="I44" s="8"/>
      <c r="J44" s="8"/>
      <c r="K44" s="7" t="s">
        <v>104</v>
      </c>
      <c r="L44" s="34"/>
    </row>
    <row r="45" spans="2:12">
      <c r="B45" s="33" t="s">
        <v>167</v>
      </c>
      <c r="C45" s="34" t="s">
        <v>168</v>
      </c>
      <c r="D45" s="7">
        <v>1</v>
      </c>
      <c r="E45" s="7" t="s">
        <v>107</v>
      </c>
      <c r="F45" s="35">
        <f>IF($E45="N/A","",VLOOKUP($E45,AvanceTbl,2,FALSE()))</f>
        <v>0</v>
      </c>
      <c r="G45" s="8"/>
      <c r="H45" s="8"/>
      <c r="I45" s="8"/>
      <c r="J45" s="8"/>
      <c r="K45" s="7" t="s">
        <v>101</v>
      </c>
      <c r="L45" s="34"/>
    </row>
    <row r="46" spans="2:12">
      <c r="B46" s="33" t="s">
        <v>169</v>
      </c>
      <c r="C46" s="34" t="s">
        <v>170</v>
      </c>
      <c r="D46" s="7">
        <v>1</v>
      </c>
      <c r="E46" s="7" t="s">
        <v>107</v>
      </c>
      <c r="F46" s="35">
        <f>IF($E46="N/A","",VLOOKUP($E46,AvanceTbl,2,FALSE()))</f>
        <v>0</v>
      </c>
      <c r="G46" s="8"/>
      <c r="H46" s="8"/>
      <c r="I46" s="8"/>
      <c r="J46" s="8"/>
      <c r="K46" s="7" t="s">
        <v>101</v>
      </c>
      <c r="L46" s="34"/>
    </row>
    <row r="47" spans="2:12">
      <c r="B47" s="28"/>
      <c r="C47" s="29" t="s">
        <v>171</v>
      </c>
      <c r="D47" s="30">
        <f>SUMIF($E48:$E51,"&lt;&gt;N/A",$D48:$D51)</f>
        <v>4</v>
      </c>
      <c r="E47" s="28"/>
      <c r="F47" s="31" cm="1">
        <f t="array" ref="F47">IFERROR(SUMPRODUCT(($E48:$E51&lt;&gt;"N/A")*$D48:$D51,IF($E48:$E51="N/A",0,$F48:$F51))/$D47,0)</f>
        <v>0</v>
      </c>
      <c r="G47" s="32">
        <v>46216</v>
      </c>
      <c r="H47" s="32">
        <v>46217</v>
      </c>
      <c r="I47" s="28"/>
      <c r="J47" s="28"/>
      <c r="K47" s="2"/>
      <c r="L47" s="28"/>
    </row>
    <row r="48" spans="2:12">
      <c r="B48" s="33" t="s">
        <v>172</v>
      </c>
      <c r="C48" s="34" t="s">
        <v>173</v>
      </c>
      <c r="D48" s="7">
        <v>1</v>
      </c>
      <c r="E48" s="7" t="s">
        <v>107</v>
      </c>
      <c r="F48" s="35">
        <f>IF($E48="N/A","",VLOOKUP($E48,AvanceTbl,2,FALSE()))</f>
        <v>0</v>
      </c>
      <c r="G48" s="8"/>
      <c r="H48" s="8"/>
      <c r="I48" s="8"/>
      <c r="J48" s="8"/>
      <c r="K48" s="7" t="s">
        <v>104</v>
      </c>
      <c r="L48" s="34"/>
    </row>
    <row r="49" spans="2:12" ht="26.45">
      <c r="B49" s="33" t="s">
        <v>174</v>
      </c>
      <c r="C49" s="34" t="s">
        <v>175</v>
      </c>
      <c r="D49" s="7">
        <v>1</v>
      </c>
      <c r="E49" s="7" t="s">
        <v>107</v>
      </c>
      <c r="F49" s="35">
        <f>IF($E49="N/A","",VLOOKUP($E49,AvanceTbl,2,FALSE()))</f>
        <v>0</v>
      </c>
      <c r="G49" s="8"/>
      <c r="H49" s="8"/>
      <c r="I49" s="8"/>
      <c r="J49" s="8"/>
      <c r="K49" s="7" t="s">
        <v>104</v>
      </c>
      <c r="L49" s="34"/>
    </row>
    <row r="50" spans="2:12">
      <c r="B50" s="33" t="s">
        <v>176</v>
      </c>
      <c r="C50" s="34" t="s">
        <v>177</v>
      </c>
      <c r="D50" s="7">
        <v>1</v>
      </c>
      <c r="E50" s="7" t="s">
        <v>107</v>
      </c>
      <c r="F50" s="35">
        <f>IF($E50="N/A","",VLOOKUP($E50,AvanceTbl,2,FALSE()))</f>
        <v>0</v>
      </c>
      <c r="G50" s="8"/>
      <c r="H50" s="8"/>
      <c r="I50" s="8"/>
      <c r="J50" s="8"/>
      <c r="K50" s="7" t="s">
        <v>104</v>
      </c>
      <c r="L50" s="34"/>
    </row>
    <row r="51" spans="2:12">
      <c r="B51" s="33" t="s">
        <v>178</v>
      </c>
      <c r="C51" s="34" t="s">
        <v>179</v>
      </c>
      <c r="D51" s="7">
        <v>1</v>
      </c>
      <c r="E51" s="7" t="s">
        <v>107</v>
      </c>
      <c r="F51" s="35">
        <f>IF($E51="N/A","",VLOOKUP($E51,AvanceTbl,2,FALSE()))</f>
        <v>0</v>
      </c>
      <c r="G51" s="8"/>
      <c r="H51" s="8"/>
      <c r="I51" s="8"/>
      <c r="J51" s="8"/>
      <c r="K51" s="7" t="s">
        <v>101</v>
      </c>
      <c r="L51" s="34"/>
    </row>
    <row r="52" spans="2:12">
      <c r="B52" s="28"/>
      <c r="C52" s="29" t="s">
        <v>180</v>
      </c>
      <c r="D52" s="30">
        <f>SUMIF($E53:$E56,"&lt;&gt;N/A",$D53:$D56)</f>
        <v>4</v>
      </c>
      <c r="E52" s="28"/>
      <c r="F52" s="31" cm="1">
        <f t="array" ref="F52">IFERROR(SUMPRODUCT(($E53:$E56&lt;&gt;"N/A")*$D53:$D56,IF($E53:$E56="N/A",0,$F53:$F56))/$D52,0)</f>
        <v>0</v>
      </c>
      <c r="G52" s="32">
        <v>46217</v>
      </c>
      <c r="H52" s="32">
        <v>46217</v>
      </c>
      <c r="I52" s="28"/>
      <c r="J52" s="28"/>
      <c r="K52" s="2"/>
      <c r="L52" s="28"/>
    </row>
    <row r="53" spans="2:12">
      <c r="B53" s="33" t="s">
        <v>181</v>
      </c>
      <c r="C53" s="34" t="s">
        <v>182</v>
      </c>
      <c r="D53" s="7">
        <v>1</v>
      </c>
      <c r="E53" s="7" t="s">
        <v>107</v>
      </c>
      <c r="F53" s="35">
        <f>IF($E53="N/A","",VLOOKUP($E53,AvanceTbl,2,FALSE()))</f>
        <v>0</v>
      </c>
      <c r="G53" s="8"/>
      <c r="H53" s="8"/>
      <c r="I53" s="8"/>
      <c r="J53" s="8"/>
      <c r="K53" s="7" t="s">
        <v>101</v>
      </c>
      <c r="L53" s="34"/>
    </row>
    <row r="54" spans="2:12">
      <c r="B54" s="33" t="s">
        <v>183</v>
      </c>
      <c r="C54" s="34" t="s">
        <v>184</v>
      </c>
      <c r="D54" s="7">
        <v>1</v>
      </c>
      <c r="E54" s="7" t="s">
        <v>107</v>
      </c>
      <c r="F54" s="35">
        <f>IF($E54="N/A","",VLOOKUP($E54,AvanceTbl,2,FALSE()))</f>
        <v>0</v>
      </c>
      <c r="G54" s="8"/>
      <c r="H54" s="8"/>
      <c r="I54" s="8"/>
      <c r="J54" s="8"/>
      <c r="K54" s="7" t="s">
        <v>101</v>
      </c>
      <c r="L54" s="34"/>
    </row>
    <row r="55" spans="2:12">
      <c r="B55" s="33" t="s">
        <v>185</v>
      </c>
      <c r="C55" s="34" t="s">
        <v>186</v>
      </c>
      <c r="D55" s="7">
        <v>1</v>
      </c>
      <c r="E55" s="7" t="s">
        <v>107</v>
      </c>
      <c r="F55" s="35">
        <f>IF($E55="N/A","",VLOOKUP($E55,AvanceTbl,2,FALSE()))</f>
        <v>0</v>
      </c>
      <c r="G55" s="8"/>
      <c r="H55" s="8"/>
      <c r="I55" s="8"/>
      <c r="J55" s="8"/>
      <c r="K55" s="7" t="s">
        <v>101</v>
      </c>
      <c r="L55" s="34"/>
    </row>
    <row r="56" spans="2:12">
      <c r="B56" s="33" t="s">
        <v>187</v>
      </c>
      <c r="C56" s="34" t="s">
        <v>188</v>
      </c>
      <c r="D56" s="7">
        <v>1</v>
      </c>
      <c r="E56" s="7" t="s">
        <v>107</v>
      </c>
      <c r="F56" s="35">
        <f>IF($E56="N/A","",VLOOKUP($E56,AvanceTbl,2,FALSE()))</f>
        <v>0</v>
      </c>
      <c r="G56" s="8"/>
      <c r="H56" s="8"/>
      <c r="I56" s="8"/>
      <c r="J56" s="8"/>
      <c r="K56" s="7" t="s">
        <v>189</v>
      </c>
      <c r="L56" s="34"/>
    </row>
  </sheetData>
  <mergeCells count="9">
    <mergeCell ref="B7:F7"/>
    <mergeCell ref="G7:L7"/>
    <mergeCell ref="B2:L2"/>
    <mergeCell ref="C4:E4"/>
    <mergeCell ref="G4:H4"/>
    <mergeCell ref="J4:L4"/>
    <mergeCell ref="C5:E5"/>
    <mergeCell ref="G5:H5"/>
    <mergeCell ref="J5:L5"/>
  </mergeCells>
  <conditionalFormatting sqref="E10:E56">
    <cfRule type="cellIs" dxfId="19" priority="2" operator="equal">
      <formula>"Completado"</formula>
    </cfRule>
    <cfRule type="cellIs" dxfId="18" priority="3" operator="equal">
      <formula>"En proceso"</formula>
    </cfRule>
    <cfRule type="cellIs" dxfId="17" priority="4" operator="equal">
      <formula>"Pendiente"</formula>
    </cfRule>
  </conditionalFormatting>
  <conditionalFormatting sqref="F10:F56">
    <cfRule type="dataBar" priority="5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{5A9C5996-F7AE-4DAA-9717-CC9C80B16088}</x14:id>
        </ext>
      </extLst>
    </cfRule>
  </conditionalFormatting>
  <conditionalFormatting sqref="G11:G15">
    <cfRule type="expression" dxfId="16" priority="6">
      <formula>AND($G11&lt;&gt;"",$G11&lt;TODAY(),$E11&lt;&gt;"Completado",$E11&lt;&gt;"N/A")</formula>
    </cfRule>
  </conditionalFormatting>
  <conditionalFormatting sqref="G17:G22">
    <cfRule type="expression" dxfId="15" priority="11">
      <formula>AND($G17&lt;&gt;"",$G17&lt;TODAY(),$E17&lt;&gt;"Completado",$E17&lt;&gt;"N/A")</formula>
    </cfRule>
  </conditionalFormatting>
  <conditionalFormatting sqref="G24:G29">
    <cfRule type="expression" dxfId="14" priority="17">
      <formula>AND($G24&lt;&gt;"",$G24&lt;TODAY(),$E24&lt;&gt;"Completado",$E24&lt;&gt;"N/A")</formula>
    </cfRule>
  </conditionalFormatting>
  <conditionalFormatting sqref="G31:G36">
    <cfRule type="expression" dxfId="13" priority="23">
      <formula>AND($G31&lt;&gt;"",$G31&lt;TODAY(),$E31&lt;&gt;"Completado",$E31&lt;&gt;"N/A")</formula>
    </cfRule>
  </conditionalFormatting>
  <conditionalFormatting sqref="G38:G42">
    <cfRule type="expression" dxfId="12" priority="29">
      <formula>AND($G38&lt;&gt;"",$G38&lt;TODAY(),$E38&lt;&gt;"Completado",$E38&lt;&gt;"N/A")</formula>
    </cfRule>
  </conditionalFormatting>
  <conditionalFormatting sqref="G44:G46">
    <cfRule type="expression" dxfId="11" priority="34">
      <formula>AND($G44&lt;&gt;"",$G44&lt;TODAY(),$E44&lt;&gt;"Completado",$E44&lt;&gt;"N/A")</formula>
    </cfRule>
  </conditionalFormatting>
  <conditionalFormatting sqref="G48:G51">
    <cfRule type="expression" dxfId="10" priority="37">
      <formula>AND($G48&lt;&gt;"",$G48&lt;TODAY(),$E48&lt;&gt;"Completado",$E48&lt;&gt;"N/A")</formula>
    </cfRule>
  </conditionalFormatting>
  <conditionalFormatting sqref="G53:G56">
    <cfRule type="expression" dxfId="9" priority="41">
      <formula>AND($G53&lt;&gt;"",$G53&lt;TODAY(),$E53&lt;&gt;"Completado",$E53&lt;&gt;"N/A")</formula>
    </cfRule>
  </conditionalFormatting>
  <dataValidations count="1">
    <dataValidation type="list" allowBlank="1" sqref="E11:E15 E17:E22 E24:E29 E31:E36 E38:E42 E44:E46 E48:E51 E53:E56" xr:uid="{00000000-0002-0000-0600-000000000000}">
      <formula1>EstadoList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A9C5996-F7AE-4DAA-9717-CC9C80B16088}">
            <x14:dataBar axisPosition="none">
              <x14:cfvo type="num">
                <xm:f>0</xm:f>
              </x14:cfvo>
              <x14:cfvo type="num">
                <xm:f>1</xm:f>
              </x14:cfvo>
              <x14:negativeFillColor rgb="FF63C384"/>
            </x14:dataBar>
          </x14:cfRule>
          <xm:sqref>F10:F56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C0006"/>
  </sheetPr>
  <dimension ref="B2:N34"/>
  <sheetViews>
    <sheetView showGridLines="0" zoomScaleNormal="100" workbookViewId="0">
      <pane xSplit="1" ySplit="4" topLeftCell="B5" activePane="bottomRight" state="frozen"/>
      <selection pane="bottomRight"/>
      <selection pane="bottomLeft"/>
      <selection pane="topRight"/>
    </sheetView>
  </sheetViews>
  <sheetFormatPr defaultColWidth="8.7109375" defaultRowHeight="14.45"/>
  <cols>
    <col min="1" max="1" width="2" customWidth="1"/>
    <col min="2" max="2" width="8" customWidth="1"/>
    <col min="3" max="3" width="14" customWidth="1"/>
    <col min="4" max="4" width="11" customWidth="1"/>
    <col min="5" max="5" width="22" customWidth="1"/>
    <col min="6" max="6" width="38" customWidth="1"/>
    <col min="7" max="7" width="12" customWidth="1"/>
    <col min="8" max="8" width="34" customWidth="1"/>
    <col min="9" max="9" width="13" customWidth="1"/>
    <col min="10" max="10" width="16" customWidth="1"/>
    <col min="11" max="11" width="15" customWidth="1"/>
    <col min="12" max="12" width="14" customWidth="1"/>
    <col min="13" max="13" width="18" customWidth="1"/>
    <col min="14" max="14" width="12" customWidth="1"/>
  </cols>
  <sheetData>
    <row r="2" spans="2:14" ht="17.45">
      <c r="B2" s="47" t="s">
        <v>197</v>
      </c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</row>
    <row r="4" spans="2:14" ht="26.45">
      <c r="B4" s="4" t="s">
        <v>198</v>
      </c>
      <c r="C4" s="4" t="s">
        <v>199</v>
      </c>
      <c r="D4" s="4" t="s">
        <v>2</v>
      </c>
      <c r="E4" s="4" t="s">
        <v>200</v>
      </c>
      <c r="F4" s="4" t="s">
        <v>201</v>
      </c>
      <c r="G4" s="4" t="s">
        <v>202</v>
      </c>
      <c r="H4" s="4" t="s">
        <v>203</v>
      </c>
      <c r="I4" s="4" t="s">
        <v>90</v>
      </c>
      <c r="J4" s="4" t="s">
        <v>95</v>
      </c>
      <c r="K4" s="4" t="s">
        <v>204</v>
      </c>
      <c r="L4" s="4" t="s">
        <v>205</v>
      </c>
      <c r="M4" s="4" t="s">
        <v>206</v>
      </c>
      <c r="N4" s="4" t="s">
        <v>207</v>
      </c>
    </row>
    <row r="5" spans="2:14">
      <c r="B5" s="33" t="str">
        <f t="shared" ref="B5:B34" si="0">IF(E5="","","NC-"&amp;TEXT(ROW()-4,"000"))</f>
        <v/>
      </c>
      <c r="C5" s="37"/>
      <c r="D5" s="33"/>
      <c r="E5" s="38"/>
      <c r="F5" s="38"/>
      <c r="G5" s="33"/>
      <c r="H5" s="38"/>
      <c r="I5" s="33"/>
      <c r="J5" s="22"/>
      <c r="K5" s="37"/>
      <c r="L5" s="37"/>
      <c r="M5" s="38"/>
      <c r="N5" s="39" t="str">
        <f t="shared" ref="N5:N34" ca="1" si="1">IF(C5="","",IF(L5="",TODAY()-C5,L5-C5))</f>
        <v/>
      </c>
    </row>
    <row r="6" spans="2:14">
      <c r="B6" s="33" t="str">
        <f t="shared" si="0"/>
        <v/>
      </c>
      <c r="C6" s="37"/>
      <c r="D6" s="33"/>
      <c r="E6" s="38"/>
      <c r="F6" s="38"/>
      <c r="G6" s="33"/>
      <c r="H6" s="38"/>
      <c r="I6" s="33"/>
      <c r="J6" s="22"/>
      <c r="K6" s="37"/>
      <c r="L6" s="37"/>
      <c r="M6" s="38"/>
      <c r="N6" s="39" t="str">
        <f t="shared" ca="1" si="1"/>
        <v/>
      </c>
    </row>
    <row r="7" spans="2:14">
      <c r="B7" s="33" t="str">
        <f t="shared" si="0"/>
        <v/>
      </c>
      <c r="C7" s="37"/>
      <c r="D7" s="33"/>
      <c r="E7" s="38"/>
      <c r="F7" s="38"/>
      <c r="G7" s="33"/>
      <c r="H7" s="38"/>
      <c r="I7" s="33"/>
      <c r="J7" s="22"/>
      <c r="K7" s="37"/>
      <c r="L7" s="37"/>
      <c r="M7" s="38"/>
      <c r="N7" s="39" t="str">
        <f t="shared" ca="1" si="1"/>
        <v/>
      </c>
    </row>
    <row r="8" spans="2:14">
      <c r="B8" s="33" t="str">
        <f t="shared" si="0"/>
        <v/>
      </c>
      <c r="C8" s="37"/>
      <c r="D8" s="33"/>
      <c r="E8" s="38"/>
      <c r="F8" s="38"/>
      <c r="G8" s="33"/>
      <c r="H8" s="38"/>
      <c r="I8" s="33"/>
      <c r="J8" s="22"/>
      <c r="K8" s="37"/>
      <c r="L8" s="37"/>
      <c r="M8" s="38"/>
      <c r="N8" s="39" t="str">
        <f t="shared" ca="1" si="1"/>
        <v/>
      </c>
    </row>
    <row r="9" spans="2:14">
      <c r="B9" s="33" t="str">
        <f t="shared" si="0"/>
        <v/>
      </c>
      <c r="C9" s="37"/>
      <c r="D9" s="33"/>
      <c r="E9" s="38"/>
      <c r="F9" s="38"/>
      <c r="G9" s="33"/>
      <c r="H9" s="38"/>
      <c r="I9" s="33"/>
      <c r="J9" s="22"/>
      <c r="K9" s="37"/>
      <c r="L9" s="37"/>
      <c r="M9" s="38"/>
      <c r="N9" s="39" t="str">
        <f t="shared" ca="1" si="1"/>
        <v/>
      </c>
    </row>
    <row r="10" spans="2:14">
      <c r="B10" s="33" t="str">
        <f t="shared" si="0"/>
        <v/>
      </c>
      <c r="C10" s="37"/>
      <c r="D10" s="33"/>
      <c r="E10" s="38"/>
      <c r="F10" s="38"/>
      <c r="G10" s="33"/>
      <c r="H10" s="38"/>
      <c r="I10" s="33"/>
      <c r="J10" s="22"/>
      <c r="K10" s="37"/>
      <c r="L10" s="37"/>
      <c r="M10" s="38"/>
      <c r="N10" s="39" t="str">
        <f t="shared" ca="1" si="1"/>
        <v/>
      </c>
    </row>
    <row r="11" spans="2:14">
      <c r="B11" s="33" t="str">
        <f t="shared" si="0"/>
        <v/>
      </c>
      <c r="C11" s="37"/>
      <c r="D11" s="33"/>
      <c r="E11" s="38"/>
      <c r="F11" s="38"/>
      <c r="G11" s="33"/>
      <c r="H11" s="38"/>
      <c r="I11" s="33"/>
      <c r="J11" s="22"/>
      <c r="K11" s="37"/>
      <c r="L11" s="37"/>
      <c r="M11" s="38"/>
      <c r="N11" s="39" t="str">
        <f t="shared" ca="1" si="1"/>
        <v/>
      </c>
    </row>
    <row r="12" spans="2:14">
      <c r="B12" s="33" t="str">
        <f t="shared" si="0"/>
        <v/>
      </c>
      <c r="C12" s="37"/>
      <c r="D12" s="33"/>
      <c r="E12" s="38"/>
      <c r="F12" s="38"/>
      <c r="G12" s="33"/>
      <c r="H12" s="38"/>
      <c r="I12" s="33"/>
      <c r="J12" s="22"/>
      <c r="K12" s="37"/>
      <c r="L12" s="37"/>
      <c r="M12" s="38"/>
      <c r="N12" s="39" t="str">
        <f t="shared" ca="1" si="1"/>
        <v/>
      </c>
    </row>
    <row r="13" spans="2:14">
      <c r="B13" s="33" t="str">
        <f t="shared" si="0"/>
        <v/>
      </c>
      <c r="C13" s="37"/>
      <c r="D13" s="33"/>
      <c r="E13" s="38"/>
      <c r="F13" s="38"/>
      <c r="G13" s="33"/>
      <c r="H13" s="38"/>
      <c r="I13" s="33"/>
      <c r="J13" s="22"/>
      <c r="K13" s="37"/>
      <c r="L13" s="37"/>
      <c r="M13" s="38"/>
      <c r="N13" s="39" t="str">
        <f t="shared" ca="1" si="1"/>
        <v/>
      </c>
    </row>
    <row r="14" spans="2:14">
      <c r="B14" s="33" t="str">
        <f t="shared" si="0"/>
        <v/>
      </c>
      <c r="C14" s="37"/>
      <c r="D14" s="33"/>
      <c r="E14" s="38"/>
      <c r="F14" s="38"/>
      <c r="G14" s="33"/>
      <c r="H14" s="38"/>
      <c r="I14" s="33"/>
      <c r="J14" s="22"/>
      <c r="K14" s="37"/>
      <c r="L14" s="37"/>
      <c r="M14" s="38"/>
      <c r="N14" s="39" t="str">
        <f t="shared" ca="1" si="1"/>
        <v/>
      </c>
    </row>
    <row r="15" spans="2:14">
      <c r="B15" s="33" t="str">
        <f t="shared" si="0"/>
        <v/>
      </c>
      <c r="C15" s="37"/>
      <c r="D15" s="33"/>
      <c r="E15" s="38"/>
      <c r="F15" s="38"/>
      <c r="G15" s="33"/>
      <c r="H15" s="38"/>
      <c r="I15" s="33"/>
      <c r="J15" s="22"/>
      <c r="K15" s="37"/>
      <c r="L15" s="37"/>
      <c r="M15" s="38"/>
      <c r="N15" s="39" t="str">
        <f t="shared" ca="1" si="1"/>
        <v/>
      </c>
    </row>
    <row r="16" spans="2:14">
      <c r="B16" s="33" t="str">
        <f t="shared" si="0"/>
        <v/>
      </c>
      <c r="C16" s="37"/>
      <c r="D16" s="33"/>
      <c r="E16" s="38"/>
      <c r="F16" s="38"/>
      <c r="G16" s="33"/>
      <c r="H16" s="38"/>
      <c r="I16" s="33"/>
      <c r="J16" s="22"/>
      <c r="K16" s="37"/>
      <c r="L16" s="37"/>
      <c r="M16" s="38"/>
      <c r="N16" s="39" t="str">
        <f t="shared" ca="1" si="1"/>
        <v/>
      </c>
    </row>
    <row r="17" spans="2:14">
      <c r="B17" s="33" t="str">
        <f t="shared" si="0"/>
        <v/>
      </c>
      <c r="C17" s="37"/>
      <c r="D17" s="33"/>
      <c r="E17" s="38"/>
      <c r="F17" s="38"/>
      <c r="G17" s="33"/>
      <c r="H17" s="38"/>
      <c r="I17" s="33"/>
      <c r="J17" s="22"/>
      <c r="K17" s="37"/>
      <c r="L17" s="37"/>
      <c r="M17" s="38"/>
      <c r="N17" s="39" t="str">
        <f t="shared" ca="1" si="1"/>
        <v/>
      </c>
    </row>
    <row r="18" spans="2:14">
      <c r="B18" s="33" t="str">
        <f t="shared" si="0"/>
        <v/>
      </c>
      <c r="C18" s="37"/>
      <c r="D18" s="33"/>
      <c r="E18" s="38"/>
      <c r="F18" s="38"/>
      <c r="G18" s="33"/>
      <c r="H18" s="38"/>
      <c r="I18" s="33"/>
      <c r="J18" s="22"/>
      <c r="K18" s="37"/>
      <c r="L18" s="37"/>
      <c r="M18" s="38"/>
      <c r="N18" s="39" t="str">
        <f t="shared" ca="1" si="1"/>
        <v/>
      </c>
    </row>
    <row r="19" spans="2:14">
      <c r="B19" s="33" t="str">
        <f t="shared" si="0"/>
        <v/>
      </c>
      <c r="C19" s="37"/>
      <c r="D19" s="33"/>
      <c r="E19" s="38"/>
      <c r="F19" s="38"/>
      <c r="G19" s="33"/>
      <c r="H19" s="38"/>
      <c r="I19" s="33"/>
      <c r="J19" s="22"/>
      <c r="K19" s="37"/>
      <c r="L19" s="37"/>
      <c r="M19" s="38"/>
      <c r="N19" s="39" t="str">
        <f t="shared" ca="1" si="1"/>
        <v/>
      </c>
    </row>
    <row r="20" spans="2:14">
      <c r="B20" s="33" t="str">
        <f t="shared" si="0"/>
        <v/>
      </c>
      <c r="C20" s="37"/>
      <c r="D20" s="33"/>
      <c r="E20" s="38"/>
      <c r="F20" s="38"/>
      <c r="G20" s="33"/>
      <c r="H20" s="38"/>
      <c r="I20" s="33"/>
      <c r="J20" s="22"/>
      <c r="K20" s="37"/>
      <c r="L20" s="37"/>
      <c r="M20" s="38"/>
      <c r="N20" s="39" t="str">
        <f t="shared" ca="1" si="1"/>
        <v/>
      </c>
    </row>
    <row r="21" spans="2:14">
      <c r="B21" s="33" t="str">
        <f t="shared" si="0"/>
        <v/>
      </c>
      <c r="C21" s="37"/>
      <c r="D21" s="33"/>
      <c r="E21" s="38"/>
      <c r="F21" s="38"/>
      <c r="G21" s="33"/>
      <c r="H21" s="38"/>
      <c r="I21" s="33"/>
      <c r="J21" s="22"/>
      <c r="K21" s="37"/>
      <c r="L21" s="37"/>
      <c r="M21" s="38"/>
      <c r="N21" s="39" t="str">
        <f t="shared" ca="1" si="1"/>
        <v/>
      </c>
    </row>
    <row r="22" spans="2:14">
      <c r="B22" s="33" t="str">
        <f t="shared" si="0"/>
        <v/>
      </c>
      <c r="C22" s="37"/>
      <c r="D22" s="33"/>
      <c r="E22" s="38"/>
      <c r="F22" s="38"/>
      <c r="G22" s="33"/>
      <c r="H22" s="38"/>
      <c r="I22" s="33"/>
      <c r="J22" s="22"/>
      <c r="K22" s="37"/>
      <c r="L22" s="37"/>
      <c r="M22" s="38"/>
      <c r="N22" s="39" t="str">
        <f t="shared" ca="1" si="1"/>
        <v/>
      </c>
    </row>
    <row r="23" spans="2:14">
      <c r="B23" s="33" t="str">
        <f t="shared" si="0"/>
        <v/>
      </c>
      <c r="C23" s="37"/>
      <c r="D23" s="33"/>
      <c r="E23" s="38"/>
      <c r="F23" s="38"/>
      <c r="G23" s="33"/>
      <c r="H23" s="38"/>
      <c r="I23" s="33"/>
      <c r="J23" s="22"/>
      <c r="K23" s="37"/>
      <c r="L23" s="37"/>
      <c r="M23" s="38"/>
      <c r="N23" s="39" t="str">
        <f t="shared" ca="1" si="1"/>
        <v/>
      </c>
    </row>
    <row r="24" spans="2:14">
      <c r="B24" s="33" t="str">
        <f t="shared" si="0"/>
        <v/>
      </c>
      <c r="C24" s="37"/>
      <c r="D24" s="33"/>
      <c r="E24" s="38"/>
      <c r="F24" s="38"/>
      <c r="G24" s="33"/>
      <c r="H24" s="38"/>
      <c r="I24" s="33"/>
      <c r="J24" s="22"/>
      <c r="K24" s="37"/>
      <c r="L24" s="37"/>
      <c r="M24" s="38"/>
      <c r="N24" s="39" t="str">
        <f t="shared" ca="1" si="1"/>
        <v/>
      </c>
    </row>
    <row r="25" spans="2:14">
      <c r="B25" s="33" t="str">
        <f t="shared" si="0"/>
        <v/>
      </c>
      <c r="C25" s="37"/>
      <c r="D25" s="33"/>
      <c r="E25" s="38"/>
      <c r="F25" s="38"/>
      <c r="G25" s="33"/>
      <c r="H25" s="38"/>
      <c r="I25" s="33"/>
      <c r="J25" s="22"/>
      <c r="K25" s="37"/>
      <c r="L25" s="37"/>
      <c r="M25" s="38"/>
      <c r="N25" s="39" t="str">
        <f t="shared" ca="1" si="1"/>
        <v/>
      </c>
    </row>
    <row r="26" spans="2:14">
      <c r="B26" s="33" t="str">
        <f t="shared" si="0"/>
        <v/>
      </c>
      <c r="C26" s="37"/>
      <c r="D26" s="33"/>
      <c r="E26" s="38"/>
      <c r="F26" s="38"/>
      <c r="G26" s="33"/>
      <c r="H26" s="38"/>
      <c r="I26" s="33"/>
      <c r="J26" s="22"/>
      <c r="K26" s="37"/>
      <c r="L26" s="37"/>
      <c r="M26" s="38"/>
      <c r="N26" s="39" t="str">
        <f t="shared" ca="1" si="1"/>
        <v/>
      </c>
    </row>
    <row r="27" spans="2:14">
      <c r="B27" s="33" t="str">
        <f t="shared" si="0"/>
        <v/>
      </c>
      <c r="C27" s="37"/>
      <c r="D27" s="33"/>
      <c r="E27" s="38"/>
      <c r="F27" s="38"/>
      <c r="G27" s="33"/>
      <c r="H27" s="38"/>
      <c r="I27" s="33"/>
      <c r="J27" s="22"/>
      <c r="K27" s="37"/>
      <c r="L27" s="37"/>
      <c r="M27" s="38"/>
      <c r="N27" s="39" t="str">
        <f t="shared" ca="1" si="1"/>
        <v/>
      </c>
    </row>
    <row r="28" spans="2:14">
      <c r="B28" s="33" t="str">
        <f t="shared" si="0"/>
        <v/>
      </c>
      <c r="C28" s="37"/>
      <c r="D28" s="33"/>
      <c r="E28" s="38"/>
      <c r="F28" s="38"/>
      <c r="G28" s="33"/>
      <c r="H28" s="38"/>
      <c r="I28" s="33"/>
      <c r="J28" s="22"/>
      <c r="K28" s="37"/>
      <c r="L28" s="37"/>
      <c r="M28" s="38"/>
      <c r="N28" s="39" t="str">
        <f t="shared" ca="1" si="1"/>
        <v/>
      </c>
    </row>
    <row r="29" spans="2:14">
      <c r="B29" s="33" t="str">
        <f t="shared" si="0"/>
        <v/>
      </c>
      <c r="C29" s="37"/>
      <c r="D29" s="33"/>
      <c r="E29" s="38"/>
      <c r="F29" s="38"/>
      <c r="G29" s="33"/>
      <c r="H29" s="38"/>
      <c r="I29" s="33"/>
      <c r="J29" s="22"/>
      <c r="K29" s="37"/>
      <c r="L29" s="37"/>
      <c r="M29" s="38"/>
      <c r="N29" s="39" t="str">
        <f t="shared" ca="1" si="1"/>
        <v/>
      </c>
    </row>
    <row r="30" spans="2:14">
      <c r="B30" s="33" t="str">
        <f t="shared" si="0"/>
        <v/>
      </c>
      <c r="C30" s="37"/>
      <c r="D30" s="33"/>
      <c r="E30" s="38"/>
      <c r="F30" s="38"/>
      <c r="G30" s="33"/>
      <c r="H30" s="38"/>
      <c r="I30" s="33"/>
      <c r="J30" s="22"/>
      <c r="K30" s="37"/>
      <c r="L30" s="37"/>
      <c r="M30" s="38"/>
      <c r="N30" s="39" t="str">
        <f t="shared" ca="1" si="1"/>
        <v/>
      </c>
    </row>
    <row r="31" spans="2:14">
      <c r="B31" s="33" t="str">
        <f t="shared" si="0"/>
        <v/>
      </c>
      <c r="C31" s="37"/>
      <c r="D31" s="33"/>
      <c r="E31" s="38"/>
      <c r="F31" s="38"/>
      <c r="G31" s="33"/>
      <c r="H31" s="38"/>
      <c r="I31" s="33"/>
      <c r="J31" s="22"/>
      <c r="K31" s="37"/>
      <c r="L31" s="37"/>
      <c r="M31" s="38"/>
      <c r="N31" s="39" t="str">
        <f t="shared" ca="1" si="1"/>
        <v/>
      </c>
    </row>
    <row r="32" spans="2:14">
      <c r="B32" s="33" t="str">
        <f t="shared" si="0"/>
        <v/>
      </c>
      <c r="C32" s="37"/>
      <c r="D32" s="33"/>
      <c r="E32" s="38"/>
      <c r="F32" s="38"/>
      <c r="G32" s="33"/>
      <c r="H32" s="38"/>
      <c r="I32" s="33"/>
      <c r="J32" s="22"/>
      <c r="K32" s="37"/>
      <c r="L32" s="37"/>
      <c r="M32" s="38"/>
      <c r="N32" s="39" t="str">
        <f t="shared" ca="1" si="1"/>
        <v/>
      </c>
    </row>
    <row r="33" spans="2:14">
      <c r="B33" s="33" t="str">
        <f t="shared" si="0"/>
        <v/>
      </c>
      <c r="C33" s="37"/>
      <c r="D33" s="33"/>
      <c r="E33" s="38"/>
      <c r="F33" s="38"/>
      <c r="G33" s="33"/>
      <c r="H33" s="38"/>
      <c r="I33" s="33"/>
      <c r="J33" s="22"/>
      <c r="K33" s="37"/>
      <c r="L33" s="37"/>
      <c r="M33" s="38"/>
      <c r="N33" s="39" t="str">
        <f t="shared" ca="1" si="1"/>
        <v/>
      </c>
    </row>
    <row r="34" spans="2:14">
      <c r="B34" s="33" t="str">
        <f t="shared" si="0"/>
        <v/>
      </c>
      <c r="C34" s="37"/>
      <c r="D34" s="33"/>
      <c r="E34" s="38"/>
      <c r="F34" s="38"/>
      <c r="G34" s="33"/>
      <c r="H34" s="38"/>
      <c r="I34" s="33"/>
      <c r="J34" s="22"/>
      <c r="K34" s="37"/>
      <c r="L34" s="37"/>
      <c r="M34" s="38"/>
      <c r="N34" s="39" t="str">
        <f t="shared" ca="1" si="1"/>
        <v/>
      </c>
    </row>
  </sheetData>
  <mergeCells count="1">
    <mergeCell ref="B2:N2"/>
  </mergeCells>
  <conditionalFormatting sqref="G5:G34">
    <cfRule type="cellIs" dxfId="8" priority="2" operator="equal">
      <formula>"Crítica"</formula>
    </cfRule>
    <cfRule type="cellIs" dxfId="7" priority="3" operator="equal">
      <formula>"Mayor"</formula>
    </cfRule>
  </conditionalFormatting>
  <conditionalFormatting sqref="I5:I34">
    <cfRule type="cellIs" dxfId="6" priority="4" operator="equal">
      <formula>"Cerrada"</formula>
    </cfRule>
    <cfRule type="cellIs" dxfId="5" priority="5" operator="equal">
      <formula>"Abierta"</formula>
    </cfRule>
  </conditionalFormatting>
  <conditionalFormatting sqref="K5:K34">
    <cfRule type="expression" dxfId="4" priority="6">
      <formula>AND($K5&lt;&gt;"",$K5&lt;TODAY(),$I5&lt;&gt;"Cerrada")</formula>
    </cfRule>
  </conditionalFormatting>
  <dataValidations count="3">
    <dataValidation type="list" allowBlank="1" sqref="D5:D34" xr:uid="{00000000-0002-0000-0800-000000000000}">
      <formula1>TableroList</formula1>
      <formula2>0</formula2>
    </dataValidation>
    <dataValidation type="list" allowBlank="1" sqref="G5:G34" xr:uid="{00000000-0002-0000-0800-000001000000}">
      <formula1>SeveridadList</formula1>
      <formula2>0</formula2>
    </dataValidation>
    <dataValidation type="list" allowBlank="1" sqref="I5:I34" xr:uid="{00000000-0002-0000-0800-000002000000}">
      <formula1>EstadoNCList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2E5496"/>
  </sheetPr>
  <dimension ref="B2:M29"/>
  <sheetViews>
    <sheetView showGridLines="0" zoomScaleNormal="100" workbookViewId="0">
      <pane xSplit="1" ySplit="4" topLeftCell="B5" activePane="bottomRight" state="frozen"/>
      <selection pane="bottomRight"/>
      <selection pane="bottomLeft"/>
      <selection pane="topRight"/>
    </sheetView>
  </sheetViews>
  <sheetFormatPr defaultColWidth="8.7109375" defaultRowHeight="14.45"/>
  <cols>
    <col min="1" max="1" width="2" customWidth="1"/>
    <col min="2" max="2" width="10" customWidth="1"/>
    <col min="3" max="3" width="13" customWidth="1"/>
    <col min="4" max="4" width="11" customWidth="1"/>
    <col min="5" max="5" width="30.28515625" customWidth="1"/>
    <col min="6" max="6" width="32.28515625" customWidth="1"/>
    <col min="7" max="7" width="26" customWidth="1"/>
    <col min="8" max="8" width="13" customWidth="1"/>
    <col min="9" max="10" width="16" customWidth="1"/>
    <col min="11" max="11" width="14" customWidth="1"/>
    <col min="12" max="12" width="28" customWidth="1"/>
  </cols>
  <sheetData>
    <row r="2" spans="2:13" ht="17.45">
      <c r="B2" s="47" t="s">
        <v>208</v>
      </c>
      <c r="C2" s="47"/>
      <c r="D2" s="47"/>
      <c r="E2" s="47"/>
      <c r="F2" s="47"/>
      <c r="G2" s="47"/>
      <c r="H2" s="47"/>
      <c r="I2" s="47"/>
      <c r="J2" s="47"/>
      <c r="K2" s="47"/>
      <c r="L2" s="47"/>
    </row>
    <row r="4" spans="2:13" ht="27" thickBot="1">
      <c r="B4" s="4" t="s">
        <v>209</v>
      </c>
      <c r="C4" s="4" t="s">
        <v>210</v>
      </c>
      <c r="D4" s="4" t="s">
        <v>2</v>
      </c>
      <c r="E4" s="4" t="s">
        <v>211</v>
      </c>
      <c r="F4" s="4" t="s">
        <v>212</v>
      </c>
      <c r="G4" s="4" t="s">
        <v>213</v>
      </c>
      <c r="H4" s="4" t="s">
        <v>90</v>
      </c>
      <c r="I4" s="4" t="s">
        <v>214</v>
      </c>
      <c r="J4" s="4" t="s">
        <v>215</v>
      </c>
      <c r="K4" s="4" t="s">
        <v>216</v>
      </c>
      <c r="L4" s="4" t="s">
        <v>96</v>
      </c>
    </row>
    <row r="5" spans="2:13">
      <c r="B5" s="33" t="str">
        <f t="shared" ref="B5:B29" si="0">IF(E5="","","CC-"&amp;TEXT(ROW()-4,"000"))</f>
        <v>CC-001</v>
      </c>
      <c r="C5" s="37">
        <v>46223</v>
      </c>
      <c r="D5" s="33" t="s">
        <v>14</v>
      </c>
      <c r="E5" s="38" t="s">
        <v>217</v>
      </c>
      <c r="F5" s="38" t="s">
        <v>218</v>
      </c>
      <c r="G5" s="44" t="s">
        <v>219</v>
      </c>
      <c r="H5" s="33" t="s">
        <v>220</v>
      </c>
      <c r="I5" s="22" t="s">
        <v>221</v>
      </c>
      <c r="J5" s="22"/>
      <c r="K5" s="37"/>
      <c r="L5" s="52" t="s">
        <v>222</v>
      </c>
      <c r="M5" s="38"/>
    </row>
    <row r="6" spans="2:13">
      <c r="B6" s="33" t="str">
        <f t="shared" si="0"/>
        <v>CC-002</v>
      </c>
      <c r="C6" s="37">
        <v>46223</v>
      </c>
      <c r="D6" s="33" t="s">
        <v>15</v>
      </c>
      <c r="E6" s="38" t="s">
        <v>217</v>
      </c>
      <c r="F6" s="38" t="s">
        <v>218</v>
      </c>
      <c r="G6" s="44" t="s">
        <v>219</v>
      </c>
      <c r="H6" s="33" t="s">
        <v>220</v>
      </c>
      <c r="I6" s="22" t="s">
        <v>221</v>
      </c>
      <c r="J6" s="22"/>
      <c r="K6" s="37"/>
      <c r="L6" s="53"/>
      <c r="M6" s="38"/>
    </row>
    <row r="7" spans="2:13">
      <c r="B7" s="33" t="str">
        <f t="shared" si="0"/>
        <v/>
      </c>
      <c r="C7" s="37"/>
      <c r="D7" s="33"/>
      <c r="E7" s="38"/>
      <c r="F7" s="38"/>
      <c r="G7" s="38"/>
      <c r="H7" s="33"/>
      <c r="I7" s="22"/>
      <c r="J7" s="22"/>
      <c r="K7" s="37"/>
      <c r="L7" s="38"/>
    </row>
    <row r="8" spans="2:13">
      <c r="B8" s="33" t="str">
        <f t="shared" si="0"/>
        <v/>
      </c>
      <c r="C8" s="37"/>
      <c r="D8" s="33"/>
      <c r="E8" s="38"/>
      <c r="F8" s="38"/>
      <c r="G8" s="38"/>
      <c r="H8" s="33"/>
      <c r="I8" s="22"/>
      <c r="J8" s="22"/>
      <c r="K8" s="37"/>
      <c r="L8" s="38"/>
    </row>
    <row r="9" spans="2:13">
      <c r="B9" s="33" t="str">
        <f t="shared" si="0"/>
        <v/>
      </c>
      <c r="C9" s="37"/>
      <c r="D9" s="33"/>
      <c r="E9" s="38"/>
      <c r="F9" s="38"/>
      <c r="G9" s="38"/>
      <c r="H9" s="33"/>
      <c r="I9" s="22"/>
      <c r="J9" s="22"/>
      <c r="K9" s="37"/>
      <c r="L9" s="38"/>
    </row>
    <row r="10" spans="2:13">
      <c r="B10" s="33" t="str">
        <f t="shared" si="0"/>
        <v/>
      </c>
      <c r="C10" s="37"/>
      <c r="D10" s="33"/>
      <c r="E10" s="38"/>
      <c r="F10" s="38"/>
      <c r="G10" s="38"/>
      <c r="H10" s="33"/>
      <c r="I10" s="22"/>
      <c r="J10" s="22"/>
      <c r="K10" s="37"/>
      <c r="L10" s="38"/>
    </row>
    <row r="11" spans="2:13">
      <c r="B11" s="33" t="str">
        <f t="shared" si="0"/>
        <v/>
      </c>
      <c r="C11" s="37"/>
      <c r="D11" s="33"/>
      <c r="E11" s="38"/>
      <c r="F11" s="38"/>
      <c r="G11" s="38"/>
      <c r="H11" s="33"/>
      <c r="I11" s="22"/>
      <c r="J11" s="22"/>
      <c r="K11" s="37"/>
      <c r="L11" s="38"/>
    </row>
    <row r="12" spans="2:13">
      <c r="B12" s="33" t="str">
        <f t="shared" si="0"/>
        <v/>
      </c>
      <c r="C12" s="37"/>
      <c r="D12" s="33"/>
      <c r="E12" s="38"/>
      <c r="F12" s="38"/>
      <c r="G12" s="38"/>
      <c r="H12" s="33"/>
      <c r="I12" s="22"/>
      <c r="J12" s="22"/>
      <c r="K12" s="37"/>
      <c r="L12" s="38"/>
    </row>
    <row r="13" spans="2:13">
      <c r="B13" s="33" t="str">
        <f t="shared" si="0"/>
        <v/>
      </c>
      <c r="C13" s="37"/>
      <c r="D13" s="33"/>
      <c r="E13" s="38"/>
      <c r="F13" s="38"/>
      <c r="G13" s="38"/>
      <c r="H13" s="33"/>
      <c r="I13" s="22"/>
      <c r="J13" s="22"/>
      <c r="K13" s="37"/>
      <c r="L13" s="38"/>
    </row>
    <row r="14" spans="2:13">
      <c r="B14" s="33" t="str">
        <f t="shared" si="0"/>
        <v/>
      </c>
      <c r="C14" s="37"/>
      <c r="D14" s="33"/>
      <c r="E14" s="38"/>
      <c r="F14" s="38"/>
      <c r="G14" s="38"/>
      <c r="H14" s="33"/>
      <c r="I14" s="22"/>
      <c r="J14" s="22"/>
      <c r="K14" s="37"/>
      <c r="L14" s="38"/>
    </row>
    <row r="15" spans="2:13">
      <c r="B15" s="33" t="str">
        <f t="shared" si="0"/>
        <v/>
      </c>
      <c r="C15" s="37"/>
      <c r="D15" s="33"/>
      <c r="E15" s="38"/>
      <c r="F15" s="38"/>
      <c r="G15" s="38"/>
      <c r="H15" s="33"/>
      <c r="I15" s="22"/>
      <c r="J15" s="22"/>
      <c r="K15" s="37"/>
      <c r="L15" s="38"/>
    </row>
    <row r="16" spans="2:13">
      <c r="B16" s="33" t="str">
        <f t="shared" si="0"/>
        <v/>
      </c>
      <c r="C16" s="37"/>
      <c r="D16" s="33"/>
      <c r="E16" s="38"/>
      <c r="F16" s="38"/>
      <c r="G16" s="38"/>
      <c r="H16" s="33"/>
      <c r="I16" s="22"/>
      <c r="J16" s="22"/>
      <c r="K16" s="37"/>
      <c r="L16" s="38"/>
    </row>
    <row r="17" spans="2:12">
      <c r="B17" s="33" t="str">
        <f t="shared" si="0"/>
        <v/>
      </c>
      <c r="C17" s="37"/>
      <c r="D17" s="33"/>
      <c r="E17" s="38"/>
      <c r="F17" s="38"/>
      <c r="G17" s="38"/>
      <c r="H17" s="33"/>
      <c r="I17" s="22"/>
      <c r="J17" s="22"/>
      <c r="K17" s="37"/>
      <c r="L17" s="38"/>
    </row>
    <row r="18" spans="2:12">
      <c r="B18" s="33" t="str">
        <f t="shared" si="0"/>
        <v/>
      </c>
      <c r="C18" s="37"/>
      <c r="D18" s="33"/>
      <c r="E18" s="38"/>
      <c r="F18" s="38"/>
      <c r="G18" s="38"/>
      <c r="H18" s="33"/>
      <c r="I18" s="22"/>
      <c r="J18" s="22"/>
      <c r="K18" s="37"/>
      <c r="L18" s="38"/>
    </row>
    <row r="19" spans="2:12">
      <c r="B19" s="33" t="str">
        <f t="shared" si="0"/>
        <v/>
      </c>
      <c r="C19" s="37"/>
      <c r="D19" s="33"/>
      <c r="E19" s="38"/>
      <c r="F19" s="38"/>
      <c r="G19" s="38"/>
      <c r="H19" s="33"/>
      <c r="I19" s="22"/>
      <c r="J19" s="22"/>
      <c r="K19" s="37"/>
      <c r="L19" s="38"/>
    </row>
    <row r="20" spans="2:12">
      <c r="B20" s="33" t="str">
        <f t="shared" si="0"/>
        <v/>
      </c>
      <c r="C20" s="37"/>
      <c r="D20" s="33"/>
      <c r="E20" s="38"/>
      <c r="F20" s="38"/>
      <c r="G20" s="38"/>
      <c r="H20" s="33"/>
      <c r="I20" s="22"/>
      <c r="J20" s="22"/>
      <c r="K20" s="37"/>
      <c r="L20" s="38"/>
    </row>
    <row r="21" spans="2:12">
      <c r="B21" s="33" t="str">
        <f t="shared" si="0"/>
        <v/>
      </c>
      <c r="C21" s="37"/>
      <c r="D21" s="33"/>
      <c r="E21" s="38"/>
      <c r="F21" s="38"/>
      <c r="G21" s="38"/>
      <c r="H21" s="33"/>
      <c r="I21" s="22"/>
      <c r="J21" s="22"/>
      <c r="K21" s="37"/>
      <c r="L21" s="38"/>
    </row>
    <row r="22" spans="2:12">
      <c r="B22" s="33" t="str">
        <f t="shared" si="0"/>
        <v/>
      </c>
      <c r="C22" s="37"/>
      <c r="D22" s="33"/>
      <c r="E22" s="38"/>
      <c r="F22" s="38"/>
      <c r="G22" s="38"/>
      <c r="H22" s="33"/>
      <c r="I22" s="22"/>
      <c r="J22" s="22"/>
      <c r="K22" s="37"/>
      <c r="L22" s="38"/>
    </row>
    <row r="23" spans="2:12">
      <c r="B23" s="33" t="str">
        <f t="shared" si="0"/>
        <v/>
      </c>
      <c r="C23" s="37"/>
      <c r="D23" s="33"/>
      <c r="E23" s="38"/>
      <c r="F23" s="38"/>
      <c r="G23" s="38"/>
      <c r="H23" s="33"/>
      <c r="I23" s="22"/>
      <c r="J23" s="22"/>
      <c r="K23" s="37"/>
      <c r="L23" s="38"/>
    </row>
    <row r="24" spans="2:12">
      <c r="B24" s="33" t="str">
        <f t="shared" si="0"/>
        <v/>
      </c>
      <c r="C24" s="37"/>
      <c r="D24" s="33"/>
      <c r="E24" s="38"/>
      <c r="F24" s="38"/>
      <c r="G24" s="38"/>
      <c r="H24" s="33"/>
      <c r="I24" s="22"/>
      <c r="J24" s="22"/>
      <c r="K24" s="37"/>
      <c r="L24" s="38"/>
    </row>
    <row r="25" spans="2:12">
      <c r="B25" s="33" t="str">
        <f t="shared" si="0"/>
        <v/>
      </c>
      <c r="C25" s="37"/>
      <c r="D25" s="33"/>
      <c r="E25" s="38"/>
      <c r="F25" s="38"/>
      <c r="G25" s="38"/>
      <c r="H25" s="33"/>
      <c r="I25" s="22"/>
      <c r="J25" s="22"/>
      <c r="K25" s="37"/>
      <c r="L25" s="38"/>
    </row>
    <row r="26" spans="2:12">
      <c r="B26" s="33" t="str">
        <f t="shared" si="0"/>
        <v/>
      </c>
      <c r="C26" s="37"/>
      <c r="D26" s="33"/>
      <c r="E26" s="38"/>
      <c r="F26" s="38"/>
      <c r="G26" s="38"/>
      <c r="H26" s="33"/>
      <c r="I26" s="22"/>
      <c r="J26" s="22"/>
      <c r="K26" s="37"/>
      <c r="L26" s="38"/>
    </row>
    <row r="27" spans="2:12">
      <c r="B27" s="33" t="str">
        <f t="shared" si="0"/>
        <v/>
      </c>
      <c r="C27" s="37"/>
      <c r="D27" s="33"/>
      <c r="E27" s="38"/>
      <c r="F27" s="38"/>
      <c r="G27" s="38"/>
      <c r="H27" s="33"/>
      <c r="I27" s="22"/>
      <c r="J27" s="22"/>
      <c r="K27" s="37"/>
      <c r="L27" s="38"/>
    </row>
    <row r="28" spans="2:12">
      <c r="B28" s="33" t="str">
        <f t="shared" si="0"/>
        <v/>
      </c>
      <c r="C28" s="37"/>
      <c r="D28" s="33"/>
      <c r="E28" s="38"/>
      <c r="F28" s="38"/>
      <c r="G28" s="38"/>
      <c r="H28" s="33"/>
      <c r="I28" s="22"/>
      <c r="J28" s="22"/>
      <c r="K28" s="37"/>
      <c r="L28" s="38"/>
    </row>
    <row r="29" spans="2:12">
      <c r="B29" s="33" t="str">
        <f t="shared" si="0"/>
        <v/>
      </c>
      <c r="C29" s="37"/>
      <c r="D29" s="33"/>
      <c r="E29" s="38"/>
      <c r="F29" s="38"/>
      <c r="G29" s="38"/>
      <c r="H29" s="33"/>
      <c r="I29" s="22"/>
      <c r="J29" s="22"/>
      <c r="K29" s="37"/>
      <c r="L29" s="38"/>
    </row>
  </sheetData>
  <mergeCells count="2">
    <mergeCell ref="B2:L2"/>
    <mergeCell ref="L5:L6"/>
  </mergeCells>
  <conditionalFormatting sqref="H5:H29">
    <cfRule type="cellIs" dxfId="3" priority="2" operator="equal">
      <formula>"Aprobado"</formula>
    </cfRule>
    <cfRule type="cellIs" dxfId="2" priority="3" operator="equal">
      <formula>"Rechazado"</formula>
    </cfRule>
    <cfRule type="cellIs" dxfId="1" priority="4" operator="equal">
      <formula>"Propuesto"</formula>
    </cfRule>
    <cfRule type="cellIs" dxfId="0" priority="5" operator="equal">
      <formula>"Implementado"</formula>
    </cfRule>
  </conditionalFormatting>
  <dataValidations count="2">
    <dataValidation type="list" allowBlank="1" sqref="D5:D29" xr:uid="{00000000-0002-0000-0900-000000000000}">
      <formula1>TableroList</formula1>
      <formula2>0</formula2>
    </dataValidation>
    <dataValidation type="list" allowBlank="1" sqref="H5:H29" xr:uid="{00000000-0002-0000-0900-000001000000}">
      <formula1>EstadoCambioList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2:J19"/>
  <sheetViews>
    <sheetView showGridLines="0" zoomScaleNormal="100" workbookViewId="0">
      <selection activeCell="F8" sqref="F8"/>
    </sheetView>
  </sheetViews>
  <sheetFormatPr defaultColWidth="8.7109375" defaultRowHeight="14.45"/>
  <cols>
    <col min="1" max="1" width="2" customWidth="1"/>
    <col min="2" max="2" width="16" customWidth="1"/>
    <col min="3" max="3" width="12" customWidth="1"/>
    <col min="4" max="4" width="3" customWidth="1"/>
    <col min="5" max="5" width="15" customWidth="1"/>
    <col min="6" max="6" width="3" customWidth="1"/>
    <col min="7" max="7" width="15" customWidth="1"/>
    <col min="9" max="9" width="3" customWidth="1"/>
    <col min="10" max="10" width="12" customWidth="1"/>
  </cols>
  <sheetData>
    <row r="2" spans="2:10" ht="17.45">
      <c r="B2" s="40" t="s">
        <v>223</v>
      </c>
    </row>
    <row r="4" spans="2:10">
      <c r="B4" s="45" t="s">
        <v>224</v>
      </c>
      <c r="C4" s="45"/>
      <c r="J4" s="41" t="s">
        <v>225</v>
      </c>
    </row>
    <row r="5" spans="2:10">
      <c r="B5" s="42" t="s">
        <v>90</v>
      </c>
      <c r="C5" s="9" t="s">
        <v>91</v>
      </c>
      <c r="J5" s="36" t="s">
        <v>10</v>
      </c>
    </row>
    <row r="6" spans="2:10">
      <c r="B6" s="36" t="s">
        <v>107</v>
      </c>
      <c r="C6" s="35">
        <v>0</v>
      </c>
      <c r="J6" s="36" t="s">
        <v>11</v>
      </c>
    </row>
    <row r="7" spans="2:10">
      <c r="B7" s="36" t="s">
        <v>129</v>
      </c>
      <c r="C7" s="35">
        <v>0.5</v>
      </c>
      <c r="J7" s="36" t="s">
        <v>12</v>
      </c>
    </row>
    <row r="8" spans="2:10">
      <c r="B8" s="36" t="s">
        <v>100</v>
      </c>
      <c r="C8" s="35">
        <v>1</v>
      </c>
      <c r="J8" s="36" t="s">
        <v>13</v>
      </c>
    </row>
    <row r="9" spans="2:10">
      <c r="B9" s="36" t="s">
        <v>121</v>
      </c>
      <c r="C9" s="35"/>
      <c r="J9" s="36" t="s">
        <v>14</v>
      </c>
    </row>
    <row r="10" spans="2:10">
      <c r="J10" s="36" t="s">
        <v>15</v>
      </c>
    </row>
    <row r="12" spans="2:10">
      <c r="B12" s="1" t="s">
        <v>226</v>
      </c>
      <c r="E12" s="1" t="s">
        <v>227</v>
      </c>
      <c r="G12" s="1" t="s">
        <v>228</v>
      </c>
    </row>
    <row r="13" spans="2:10">
      <c r="B13" s="36" t="s">
        <v>229</v>
      </c>
      <c r="E13" s="36" t="s">
        <v>230</v>
      </c>
      <c r="G13" s="36" t="s">
        <v>220</v>
      </c>
    </row>
    <row r="14" spans="2:10">
      <c r="B14" s="36" t="s">
        <v>231</v>
      </c>
      <c r="E14" s="36" t="s">
        <v>232</v>
      </c>
      <c r="G14" s="36" t="s">
        <v>233</v>
      </c>
    </row>
    <row r="15" spans="2:10">
      <c r="B15" s="36" t="s">
        <v>234</v>
      </c>
      <c r="E15" s="36" t="s">
        <v>235</v>
      </c>
      <c r="G15" s="36" t="s">
        <v>236</v>
      </c>
    </row>
    <row r="16" spans="2:10">
      <c r="E16" s="36" t="s">
        <v>237</v>
      </c>
      <c r="G16" s="36" t="s">
        <v>238</v>
      </c>
    </row>
    <row r="19" spans="2:2">
      <c r="B19" s="3" t="s">
        <v>239</v>
      </c>
    </row>
  </sheetData>
  <mergeCells count="1">
    <mergeCell ref="B4:C4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>0</cp:revision>
  <dcterms:created xsi:type="dcterms:W3CDTF">2026-07-02T13:33:18Z</dcterms:created>
  <dcterms:modified xsi:type="dcterms:W3CDTF">2026-07-27T13:01:12Z</dcterms:modified>
  <cp:category/>
  <cp:contentStatus/>
</cp:coreProperties>
</file>